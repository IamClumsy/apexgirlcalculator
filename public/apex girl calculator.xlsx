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ck/Downloads/"/>
    </mc:Choice>
  </mc:AlternateContent>
  <xr:revisionPtr revIDLastSave="0" documentId="8_{FDFED3E8-7A96-A444-9EAE-E390A91E4CC8}" xr6:coauthVersionLast="47" xr6:coauthVersionMax="47" xr10:uidLastSave="{00000000-0000-0000-0000-000000000000}"/>
  <bookViews>
    <workbookView xWindow="37360" yWindow="1500" windowWidth="35840" windowHeight="19920" activeTab="1" xr2:uid="{00000000-000D-0000-FFFF-FFFF00000000}"/>
  </bookViews>
  <sheets>
    <sheet name="Welcome" sheetId="1" r:id="rId1"/>
    <sheet name="Calculator" sheetId="2" r:id="rId2"/>
    <sheet name="Glass" sheetId="3" r:id="rId3"/>
    <sheet name="Gems" sheetId="4" r:id="rId4"/>
    <sheet name="Car Parts" sheetId="5" r:id="rId5"/>
    <sheet name="Drones" sheetId="6" r:id="rId6"/>
    <sheet name="Floors,Exhibits,Homemaking,CarC" sheetId="7" r:id="rId7"/>
    <sheet name="Assets" sheetId="8" r:id="rId8"/>
    <sheet name="Artist" sheetId="9" r:id="rId9"/>
    <sheet name="Blueprints" sheetId="10" r:id="rId10"/>
    <sheet name="Others" sheetId="11" r:id="rId11"/>
    <sheet name="Tables" sheetId="12" state="hidden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62" i="12" l="1"/>
  <c r="BF62" i="12"/>
  <c r="AM62" i="12"/>
  <c r="AL62" i="12"/>
  <c r="BG61" i="12"/>
  <c r="BF61" i="12"/>
  <c r="AM61" i="12"/>
  <c r="AL61" i="12"/>
  <c r="BG60" i="12"/>
  <c r="BF60" i="12"/>
  <c r="AM60" i="12"/>
  <c r="AL60" i="12"/>
  <c r="BG59" i="12"/>
  <c r="BF59" i="12"/>
  <c r="AM59" i="12"/>
  <c r="AL59" i="12"/>
  <c r="BG58" i="12"/>
  <c r="BF58" i="12"/>
  <c r="AM58" i="12"/>
  <c r="AL58" i="12"/>
  <c r="BG57" i="12"/>
  <c r="BF57" i="12"/>
  <c r="AM57" i="12"/>
  <c r="AL57" i="12"/>
  <c r="BG56" i="12"/>
  <c r="BF56" i="12"/>
  <c r="AM56" i="12"/>
  <c r="AL56" i="12"/>
  <c r="BG55" i="12"/>
  <c r="BF55" i="12"/>
  <c r="AM55" i="12"/>
  <c r="AL55" i="12"/>
  <c r="BG54" i="12"/>
  <c r="BF54" i="12"/>
  <c r="AM54" i="12"/>
  <c r="AL54" i="12"/>
  <c r="BG53" i="12"/>
  <c r="BF53" i="12"/>
  <c r="AM53" i="12"/>
  <c r="AL53" i="12"/>
  <c r="BG52" i="12"/>
  <c r="BF52" i="12"/>
  <c r="AM52" i="12"/>
  <c r="AL52" i="12"/>
  <c r="BG51" i="12"/>
  <c r="BF51" i="12"/>
  <c r="AM51" i="12"/>
  <c r="AL51" i="12"/>
  <c r="BG50" i="12"/>
  <c r="BF50" i="12"/>
  <c r="AM50" i="12"/>
  <c r="AL50" i="12"/>
  <c r="BG49" i="12"/>
  <c r="BF49" i="12"/>
  <c r="AM49" i="12"/>
  <c r="AL49" i="12"/>
  <c r="BG48" i="12"/>
  <c r="BF48" i="12"/>
  <c r="AM48" i="12"/>
  <c r="AL48" i="12"/>
  <c r="BG47" i="12"/>
  <c r="BF47" i="12"/>
  <c r="AM47" i="12"/>
  <c r="AL47" i="12"/>
  <c r="BG46" i="12"/>
  <c r="BF46" i="12"/>
  <c r="AM46" i="12"/>
  <c r="AL46" i="12"/>
  <c r="BG45" i="12"/>
  <c r="BF45" i="12"/>
  <c r="AM45" i="12"/>
  <c r="AL45" i="12"/>
  <c r="BG44" i="12"/>
  <c r="BF44" i="12"/>
  <c r="AM44" i="12"/>
  <c r="AL44" i="12"/>
  <c r="BG43" i="12"/>
  <c r="BF43" i="12"/>
  <c r="AM43" i="12"/>
  <c r="AL43" i="12"/>
  <c r="BG42" i="12"/>
  <c r="BF42" i="12"/>
  <c r="AM42" i="12"/>
  <c r="AL42" i="12"/>
  <c r="BG41" i="12"/>
  <c r="BF41" i="12"/>
  <c r="AM41" i="12"/>
  <c r="AL41" i="12"/>
  <c r="BG40" i="12"/>
  <c r="BF40" i="12"/>
  <c r="AM40" i="12"/>
  <c r="AL40" i="12"/>
  <c r="AM39" i="12"/>
  <c r="AL39" i="12"/>
  <c r="BG38" i="12"/>
  <c r="BF38" i="12"/>
  <c r="AM38" i="12"/>
  <c r="AL38" i="12"/>
  <c r="BG37" i="12"/>
  <c r="BF37" i="12"/>
  <c r="AM37" i="12"/>
  <c r="AL37" i="12"/>
  <c r="BG36" i="12"/>
  <c r="BF36" i="12"/>
  <c r="AM36" i="12"/>
  <c r="AL36" i="12"/>
  <c r="BG35" i="12"/>
  <c r="BF35" i="12"/>
  <c r="AM35" i="12"/>
  <c r="AL35" i="12"/>
  <c r="BG34" i="12"/>
  <c r="BF34" i="12"/>
  <c r="AM34" i="12"/>
  <c r="AL34" i="12"/>
  <c r="BG33" i="12"/>
  <c r="BF33" i="12"/>
  <c r="AM33" i="12"/>
  <c r="AL33" i="12"/>
  <c r="BG32" i="12"/>
  <c r="BF32" i="12"/>
  <c r="AM32" i="12"/>
  <c r="AL32" i="12"/>
  <c r="BG31" i="12"/>
  <c r="BF31" i="12"/>
  <c r="AM31" i="12"/>
  <c r="AL31" i="12"/>
  <c r="BG30" i="12"/>
  <c r="BF30" i="12"/>
  <c r="AM30" i="12"/>
  <c r="AL30" i="12"/>
  <c r="BG29" i="12"/>
  <c r="BF29" i="12"/>
  <c r="AM29" i="12"/>
  <c r="AL29" i="12"/>
  <c r="BG28" i="12"/>
  <c r="BF28" i="12"/>
  <c r="AM28" i="12"/>
  <c r="AL28" i="12"/>
  <c r="BG27" i="12"/>
  <c r="BF27" i="12"/>
  <c r="AM27" i="12"/>
  <c r="AL27" i="12"/>
  <c r="BG26" i="12"/>
  <c r="BF26" i="12"/>
  <c r="AM26" i="12"/>
  <c r="AL26" i="12"/>
  <c r="BG25" i="12"/>
  <c r="BF25" i="12"/>
  <c r="AM25" i="12"/>
  <c r="AL25" i="12"/>
  <c r="BG24" i="12"/>
  <c r="BF24" i="12"/>
  <c r="AM24" i="12"/>
  <c r="AL24" i="12"/>
  <c r="BG23" i="12"/>
  <c r="BF23" i="12"/>
  <c r="AM23" i="12"/>
  <c r="AL23" i="12"/>
  <c r="BG22" i="12"/>
  <c r="BF22" i="12"/>
  <c r="AM22" i="12"/>
  <c r="AL22" i="12"/>
  <c r="BG21" i="12"/>
  <c r="BF21" i="12"/>
  <c r="AM21" i="12"/>
  <c r="AL21" i="12"/>
  <c r="BG20" i="12"/>
  <c r="BF20" i="12"/>
  <c r="AM20" i="12"/>
  <c r="AL20" i="12"/>
  <c r="BG19" i="12"/>
  <c r="BF19" i="12"/>
  <c r="AM19" i="12"/>
  <c r="AL19" i="12"/>
  <c r="BG18" i="12"/>
  <c r="BF18" i="12"/>
  <c r="AM18" i="12"/>
  <c r="AL18" i="12"/>
  <c r="BG17" i="12"/>
  <c r="BF17" i="12"/>
  <c r="AM17" i="12"/>
  <c r="AL17" i="12"/>
  <c r="BG16" i="12"/>
  <c r="BF16" i="12"/>
  <c r="AM16" i="12"/>
  <c r="AL16" i="12"/>
  <c r="BG15" i="12"/>
  <c r="BF15" i="12"/>
  <c r="AM15" i="12"/>
  <c r="AL15" i="12"/>
  <c r="BG14" i="12"/>
  <c r="BF14" i="12"/>
  <c r="AM14" i="12"/>
  <c r="AL14" i="12"/>
  <c r="BG13" i="12"/>
  <c r="BF13" i="12"/>
  <c r="AM13" i="12"/>
  <c r="AL13" i="12"/>
  <c r="EJ12" i="12"/>
  <c r="BG12" i="12"/>
  <c r="BF12" i="12"/>
  <c r="AM12" i="12"/>
  <c r="AL12" i="12"/>
  <c r="EJ11" i="12"/>
  <c r="BG11" i="12"/>
  <c r="BF11" i="12"/>
  <c r="AM11" i="12"/>
  <c r="AL11" i="12"/>
  <c r="EJ10" i="12"/>
  <c r="CG10" i="12"/>
  <c r="CG11" i="12" s="1"/>
  <c r="CG12" i="12" s="1"/>
  <c r="CG13" i="12" s="1"/>
  <c r="CG14" i="12" s="1"/>
  <c r="CG15" i="12" s="1"/>
  <c r="CG16" i="12" s="1"/>
  <c r="CG17" i="12" s="1"/>
  <c r="CG18" i="12" s="1"/>
  <c r="CG19" i="12" s="1"/>
  <c r="CG20" i="12" s="1"/>
  <c r="CG21" i="12" s="1"/>
  <c r="CG22" i="12" s="1"/>
  <c r="CG23" i="12" s="1"/>
  <c r="CG24" i="12" s="1"/>
  <c r="CG25" i="12" s="1"/>
  <c r="CG26" i="12" s="1"/>
  <c r="CG27" i="12" s="1"/>
  <c r="CG28" i="12" s="1"/>
  <c r="CG29" i="12" s="1"/>
  <c r="CG30" i="12" s="1"/>
  <c r="CG31" i="12" s="1"/>
  <c r="CG32" i="12" s="1"/>
  <c r="CG33" i="12" s="1"/>
  <c r="CG34" i="12" s="1"/>
  <c r="CG35" i="12" s="1"/>
  <c r="CG36" i="12" s="1"/>
  <c r="CG37" i="12" s="1"/>
  <c r="CG38" i="12" s="1"/>
  <c r="CG39" i="12" s="1"/>
  <c r="CG40" i="12" s="1"/>
  <c r="CG41" i="12" s="1"/>
  <c r="CG42" i="12" s="1"/>
  <c r="CG43" i="12" s="1"/>
  <c r="CG44" i="12" s="1"/>
  <c r="CG45" i="12" s="1"/>
  <c r="CG46" i="12" s="1"/>
  <c r="CG47" i="12" s="1"/>
  <c r="CG48" i="12" s="1"/>
  <c r="CG49" i="12" s="1"/>
  <c r="CG50" i="12" s="1"/>
  <c r="CG51" i="12" s="1"/>
  <c r="CG52" i="12" s="1"/>
  <c r="CG53" i="12" s="1"/>
  <c r="CG54" i="12" s="1"/>
  <c r="CG55" i="12" s="1"/>
  <c r="CG56" i="12" s="1"/>
  <c r="CG57" i="12" s="1"/>
  <c r="CG58" i="12" s="1"/>
  <c r="CG59" i="12" s="1"/>
  <c r="CG60" i="12" s="1"/>
  <c r="CG61" i="12" s="1"/>
  <c r="CG62" i="12" s="1"/>
  <c r="CG63" i="12" s="1"/>
  <c r="CF10" i="12"/>
  <c r="CF11" i="12" s="1"/>
  <c r="CF12" i="12" s="1"/>
  <c r="CF13" i="12" s="1"/>
  <c r="CF14" i="12" s="1"/>
  <c r="CF15" i="12" s="1"/>
  <c r="CF16" i="12" s="1"/>
  <c r="CF17" i="12" s="1"/>
  <c r="CF18" i="12" s="1"/>
  <c r="CF19" i="12" s="1"/>
  <c r="CF20" i="12" s="1"/>
  <c r="CF21" i="12" s="1"/>
  <c r="CF22" i="12" s="1"/>
  <c r="CF23" i="12" s="1"/>
  <c r="CF24" i="12" s="1"/>
  <c r="CF25" i="12" s="1"/>
  <c r="CF26" i="12" s="1"/>
  <c r="CF27" i="12" s="1"/>
  <c r="CF28" i="12" s="1"/>
  <c r="CF29" i="12" s="1"/>
  <c r="CF30" i="12" s="1"/>
  <c r="CF31" i="12" s="1"/>
  <c r="CF32" i="12" s="1"/>
  <c r="CF33" i="12" s="1"/>
  <c r="CF34" i="12" s="1"/>
  <c r="CF35" i="12" s="1"/>
  <c r="CF36" i="12" s="1"/>
  <c r="CF37" i="12" s="1"/>
  <c r="CF38" i="12" s="1"/>
  <c r="CF39" i="12" s="1"/>
  <c r="CF40" i="12" s="1"/>
  <c r="CF41" i="12" s="1"/>
  <c r="CF42" i="12" s="1"/>
  <c r="CF43" i="12" s="1"/>
  <c r="CF44" i="12" s="1"/>
  <c r="CF45" i="12" s="1"/>
  <c r="CF46" i="12" s="1"/>
  <c r="CF47" i="12" s="1"/>
  <c r="CF48" i="12" s="1"/>
  <c r="CF49" i="12" s="1"/>
  <c r="CF50" i="12" s="1"/>
  <c r="CF51" i="12" s="1"/>
  <c r="CF52" i="12" s="1"/>
  <c r="CF53" i="12" s="1"/>
  <c r="CF54" i="12" s="1"/>
  <c r="CF55" i="12" s="1"/>
  <c r="CF56" i="12" s="1"/>
  <c r="CF57" i="12" s="1"/>
  <c r="CF58" i="12" s="1"/>
  <c r="CF59" i="12" s="1"/>
  <c r="CF60" i="12" s="1"/>
  <c r="CF61" i="12" s="1"/>
  <c r="CF62" i="12" s="1"/>
  <c r="CF63" i="12" s="1"/>
  <c r="BG10" i="12"/>
  <c r="BF10" i="12"/>
  <c r="AM10" i="12"/>
  <c r="AL10" i="12"/>
  <c r="EJ9" i="12"/>
  <c r="EE9" i="12"/>
  <c r="EE10" i="12" s="1"/>
  <c r="EE11" i="12" s="1"/>
  <c r="EE12" i="12" s="1"/>
  <c r="EE13" i="12" s="1"/>
  <c r="EE14" i="12" s="1"/>
  <c r="EE15" i="12" s="1"/>
  <c r="EE16" i="12" s="1"/>
  <c r="EE17" i="12" s="1"/>
  <c r="EE18" i="12" s="1"/>
  <c r="EE19" i="12" s="1"/>
  <c r="EE20" i="12" s="1"/>
  <c r="EE21" i="12" s="1"/>
  <c r="EE22" i="12" s="1"/>
  <c r="EE23" i="12" s="1"/>
  <c r="EE24" i="12" s="1"/>
  <c r="EE25" i="12" s="1"/>
  <c r="EE26" i="12" s="1"/>
  <c r="EE27" i="12" s="1"/>
  <c r="EE28" i="12" s="1"/>
  <c r="EE29" i="12" s="1"/>
  <c r="EE30" i="12" s="1"/>
  <c r="EE31" i="12" s="1"/>
  <c r="EE32" i="12" s="1"/>
  <c r="EE33" i="12" s="1"/>
  <c r="EE34" i="12" s="1"/>
  <c r="EE35" i="12" s="1"/>
  <c r="EE36" i="12" s="1"/>
  <c r="EE37" i="12" s="1"/>
  <c r="EE38" i="12" s="1"/>
  <c r="EE39" i="12" s="1"/>
  <c r="EE40" i="12" s="1"/>
  <c r="EE41" i="12" s="1"/>
  <c r="EE42" i="12" s="1"/>
  <c r="BI9" i="12"/>
  <c r="BI10" i="12" s="1"/>
  <c r="BI11" i="12" s="1"/>
  <c r="BI12" i="12" s="1"/>
  <c r="BI13" i="12" s="1"/>
  <c r="BI14" i="12" s="1"/>
  <c r="BI15" i="12" s="1"/>
  <c r="BI16" i="12" s="1"/>
  <c r="BI17" i="12" s="1"/>
  <c r="BI18" i="12" s="1"/>
  <c r="BI19" i="12" s="1"/>
  <c r="BI20" i="12" s="1"/>
  <c r="BI21" i="12" s="1"/>
  <c r="BI22" i="12" s="1"/>
  <c r="BI23" i="12" s="1"/>
  <c r="BI24" i="12" s="1"/>
  <c r="BI25" i="12" s="1"/>
  <c r="BI26" i="12" s="1"/>
  <c r="BI27" i="12" s="1"/>
  <c r="BI28" i="12" s="1"/>
  <c r="BI29" i="12" s="1"/>
  <c r="BI30" i="12" s="1"/>
  <c r="BI31" i="12" s="1"/>
  <c r="BI32" i="12" s="1"/>
  <c r="BI33" i="12" s="1"/>
  <c r="BI34" i="12" s="1"/>
  <c r="BI35" i="12" s="1"/>
  <c r="BI36" i="12" s="1"/>
  <c r="BI37" i="12" s="1"/>
  <c r="BI38" i="12" s="1"/>
  <c r="BI39" i="12" s="1"/>
  <c r="BI40" i="12" s="1"/>
  <c r="BI41" i="12" s="1"/>
  <c r="BI42" i="12" s="1"/>
  <c r="BI43" i="12" s="1"/>
  <c r="BI44" i="12" s="1"/>
  <c r="BI45" i="12" s="1"/>
  <c r="BI46" i="12" s="1"/>
  <c r="BI47" i="12" s="1"/>
  <c r="BI48" i="12" s="1"/>
  <c r="BI49" i="12" s="1"/>
  <c r="BI50" i="12" s="1"/>
  <c r="BI51" i="12" s="1"/>
  <c r="BI52" i="12" s="1"/>
  <c r="BI53" i="12" s="1"/>
  <c r="BI54" i="12" s="1"/>
  <c r="BI55" i="12" s="1"/>
  <c r="BI56" i="12" s="1"/>
  <c r="BI57" i="12" s="1"/>
  <c r="BI58" i="12" s="1"/>
  <c r="BI59" i="12" s="1"/>
  <c r="BI60" i="12" s="1"/>
  <c r="BI61" i="12" s="1"/>
  <c r="BI62" i="12" s="1"/>
  <c r="BI63" i="12" s="1"/>
  <c r="BG9" i="12"/>
  <c r="BF9" i="12"/>
  <c r="AM9" i="12"/>
  <c r="AL9" i="12"/>
  <c r="EJ8" i="12"/>
  <c r="CS8" i="12"/>
  <c r="CS9" i="12" s="1"/>
  <c r="CS10" i="12" s="1"/>
  <c r="CS11" i="12" s="1"/>
  <c r="CS12" i="12" s="1"/>
  <c r="CS13" i="12" s="1"/>
  <c r="CS14" i="12" s="1"/>
  <c r="CS15" i="12" s="1"/>
  <c r="CS16" i="12" s="1"/>
  <c r="CS17" i="12" s="1"/>
  <c r="CS18" i="12" s="1"/>
  <c r="CS19" i="12" s="1"/>
  <c r="CS20" i="12" s="1"/>
  <c r="CS21" i="12" s="1"/>
  <c r="CS22" i="12" s="1"/>
  <c r="CS23" i="12" s="1"/>
  <c r="CS24" i="12" s="1"/>
  <c r="CS25" i="12" s="1"/>
  <c r="CS26" i="12" s="1"/>
  <c r="CS27" i="12" s="1"/>
  <c r="CS28" i="12" s="1"/>
  <c r="CS29" i="12" s="1"/>
  <c r="CS30" i="12" s="1"/>
  <c r="CS31" i="12" s="1"/>
  <c r="CS32" i="12" s="1"/>
  <c r="CS33" i="12" s="1"/>
  <c r="CS34" i="12" s="1"/>
  <c r="CS35" i="12" s="1"/>
  <c r="CS36" i="12" s="1"/>
  <c r="CS37" i="12" s="1"/>
  <c r="CS38" i="12" s="1"/>
  <c r="CS39" i="12" s="1"/>
  <c r="CS40" i="12" s="1"/>
  <c r="CS41" i="12" s="1"/>
  <c r="CS42" i="12" s="1"/>
  <c r="CS43" i="12" s="1"/>
  <c r="CS44" i="12" s="1"/>
  <c r="CS45" i="12" s="1"/>
  <c r="CS46" i="12" s="1"/>
  <c r="CS47" i="12" s="1"/>
  <c r="CS48" i="12" s="1"/>
  <c r="CS49" i="12" s="1"/>
  <c r="CS50" i="12" s="1"/>
  <c r="CS51" i="12" s="1"/>
  <c r="CS52" i="12" s="1"/>
  <c r="CS53" i="12" s="1"/>
  <c r="CS54" i="12" s="1"/>
  <c r="CS55" i="12" s="1"/>
  <c r="CS56" i="12" s="1"/>
  <c r="CS57" i="12" s="1"/>
  <c r="CS58" i="12" s="1"/>
  <c r="CS59" i="12" s="1"/>
  <c r="CS60" i="12" s="1"/>
  <c r="CS61" i="12" s="1"/>
  <c r="CS62" i="12" s="1"/>
  <c r="CS63" i="12" s="1"/>
  <c r="CR8" i="12"/>
  <c r="CR9" i="12" s="1"/>
  <c r="CR10" i="12" s="1"/>
  <c r="CR11" i="12" s="1"/>
  <c r="CR12" i="12" s="1"/>
  <c r="CR13" i="12" s="1"/>
  <c r="CR14" i="12" s="1"/>
  <c r="CR15" i="12" s="1"/>
  <c r="CR16" i="12" s="1"/>
  <c r="CR17" i="12" s="1"/>
  <c r="CR18" i="12" s="1"/>
  <c r="CR19" i="12" s="1"/>
  <c r="CR20" i="12" s="1"/>
  <c r="CR21" i="12" s="1"/>
  <c r="CR22" i="12" s="1"/>
  <c r="CR23" i="12" s="1"/>
  <c r="CR24" i="12" s="1"/>
  <c r="CR25" i="12" s="1"/>
  <c r="CR26" i="12" s="1"/>
  <c r="CR27" i="12" s="1"/>
  <c r="CR28" i="12" s="1"/>
  <c r="CR29" i="12" s="1"/>
  <c r="CR30" i="12" s="1"/>
  <c r="CR31" i="12" s="1"/>
  <c r="CR32" i="12" s="1"/>
  <c r="CR33" i="12" s="1"/>
  <c r="CR34" i="12" s="1"/>
  <c r="CR35" i="12" s="1"/>
  <c r="CR36" i="12" s="1"/>
  <c r="CR37" i="12" s="1"/>
  <c r="CR38" i="12" s="1"/>
  <c r="CR39" i="12" s="1"/>
  <c r="CR40" i="12" s="1"/>
  <c r="CR41" i="12" s="1"/>
  <c r="CR42" i="12" s="1"/>
  <c r="CR43" i="12" s="1"/>
  <c r="CR44" i="12" s="1"/>
  <c r="CR45" i="12" s="1"/>
  <c r="CR46" i="12" s="1"/>
  <c r="CR47" i="12" s="1"/>
  <c r="CR48" i="12" s="1"/>
  <c r="CR49" i="12" s="1"/>
  <c r="CR50" i="12" s="1"/>
  <c r="CR51" i="12" s="1"/>
  <c r="CR52" i="12" s="1"/>
  <c r="CR53" i="12" s="1"/>
  <c r="CR54" i="12" s="1"/>
  <c r="CR55" i="12" s="1"/>
  <c r="CR56" i="12" s="1"/>
  <c r="CR57" i="12" s="1"/>
  <c r="CR58" i="12" s="1"/>
  <c r="CR59" i="12" s="1"/>
  <c r="CR60" i="12" s="1"/>
  <c r="CR61" i="12" s="1"/>
  <c r="CR62" i="12" s="1"/>
  <c r="CR63" i="12" s="1"/>
  <c r="CA8" i="12"/>
  <c r="CA9" i="12" s="1"/>
  <c r="CA10" i="12" s="1"/>
  <c r="CA11" i="12" s="1"/>
  <c r="CA12" i="12" s="1"/>
  <c r="CA13" i="12" s="1"/>
  <c r="CA14" i="12" s="1"/>
  <c r="CA15" i="12" s="1"/>
  <c r="CA16" i="12" s="1"/>
  <c r="CA17" i="12" s="1"/>
  <c r="CA18" i="12" s="1"/>
  <c r="CA19" i="12" s="1"/>
  <c r="CA20" i="12" s="1"/>
  <c r="CA21" i="12" s="1"/>
  <c r="CA22" i="12" s="1"/>
  <c r="CA23" i="12" s="1"/>
  <c r="CA24" i="12" s="1"/>
  <c r="CA25" i="12" s="1"/>
  <c r="CA26" i="12" s="1"/>
  <c r="CA27" i="12" s="1"/>
  <c r="CA28" i="12" s="1"/>
  <c r="CA29" i="12" s="1"/>
  <c r="CA30" i="12" s="1"/>
  <c r="CA31" i="12" s="1"/>
  <c r="CA32" i="12" s="1"/>
  <c r="CA33" i="12" s="1"/>
  <c r="CA34" i="12" s="1"/>
  <c r="CA35" i="12" s="1"/>
  <c r="CA36" i="12" s="1"/>
  <c r="CA37" i="12" s="1"/>
  <c r="CA38" i="12" s="1"/>
  <c r="CA39" i="12" s="1"/>
  <c r="CA40" i="12" s="1"/>
  <c r="CA41" i="12" s="1"/>
  <c r="CA42" i="12" s="1"/>
  <c r="CA43" i="12" s="1"/>
  <c r="CA44" i="12" s="1"/>
  <c r="CA45" i="12" s="1"/>
  <c r="CA46" i="12" s="1"/>
  <c r="CA47" i="12" s="1"/>
  <c r="CA48" i="12" s="1"/>
  <c r="CA49" i="12" s="1"/>
  <c r="CA50" i="12" s="1"/>
  <c r="CA51" i="12" s="1"/>
  <c r="CA52" i="12" s="1"/>
  <c r="CA53" i="12" s="1"/>
  <c r="CA54" i="12" s="1"/>
  <c r="CA55" i="12" s="1"/>
  <c r="CA56" i="12" s="1"/>
  <c r="CA57" i="12" s="1"/>
  <c r="CA58" i="12" s="1"/>
  <c r="CA59" i="12" s="1"/>
  <c r="CA60" i="12" s="1"/>
  <c r="CA61" i="12" s="1"/>
  <c r="CA62" i="12" s="1"/>
  <c r="CA63" i="12" s="1"/>
  <c r="BZ8" i="12"/>
  <c r="BZ9" i="12" s="1"/>
  <c r="BZ10" i="12" s="1"/>
  <c r="BZ11" i="12" s="1"/>
  <c r="BZ12" i="12" s="1"/>
  <c r="BZ13" i="12" s="1"/>
  <c r="BZ14" i="12" s="1"/>
  <c r="BZ15" i="12" s="1"/>
  <c r="BZ16" i="12" s="1"/>
  <c r="BZ17" i="12" s="1"/>
  <c r="BZ18" i="12" s="1"/>
  <c r="BZ19" i="12" s="1"/>
  <c r="BZ20" i="12" s="1"/>
  <c r="BZ21" i="12" s="1"/>
  <c r="BZ22" i="12" s="1"/>
  <c r="BZ23" i="12" s="1"/>
  <c r="BZ24" i="12" s="1"/>
  <c r="BZ25" i="12" s="1"/>
  <c r="BZ26" i="12" s="1"/>
  <c r="BZ27" i="12" s="1"/>
  <c r="BZ28" i="12" s="1"/>
  <c r="BZ29" i="12" s="1"/>
  <c r="BZ30" i="12" s="1"/>
  <c r="BZ31" i="12" s="1"/>
  <c r="BZ32" i="12" s="1"/>
  <c r="BZ33" i="12" s="1"/>
  <c r="BZ34" i="12" s="1"/>
  <c r="BZ35" i="12" s="1"/>
  <c r="BZ36" i="12" s="1"/>
  <c r="BZ37" i="12" s="1"/>
  <c r="BZ38" i="12" s="1"/>
  <c r="BZ39" i="12" s="1"/>
  <c r="BZ40" i="12" s="1"/>
  <c r="BZ41" i="12" s="1"/>
  <c r="BZ42" i="12" s="1"/>
  <c r="BZ43" i="12" s="1"/>
  <c r="BZ44" i="12" s="1"/>
  <c r="BZ45" i="12" s="1"/>
  <c r="BZ46" i="12" s="1"/>
  <c r="BZ47" i="12" s="1"/>
  <c r="BZ48" i="12" s="1"/>
  <c r="BZ49" i="12" s="1"/>
  <c r="BZ50" i="12" s="1"/>
  <c r="BZ51" i="12" s="1"/>
  <c r="BZ52" i="12" s="1"/>
  <c r="BZ53" i="12" s="1"/>
  <c r="BZ54" i="12" s="1"/>
  <c r="BZ55" i="12" s="1"/>
  <c r="BZ56" i="12" s="1"/>
  <c r="BZ57" i="12" s="1"/>
  <c r="BZ58" i="12" s="1"/>
  <c r="BZ59" i="12" s="1"/>
  <c r="BZ60" i="12" s="1"/>
  <c r="BZ61" i="12" s="1"/>
  <c r="BZ62" i="12" s="1"/>
  <c r="BZ63" i="12" s="1"/>
  <c r="BI8" i="12"/>
  <c r="BG8" i="12"/>
  <c r="BF8" i="12"/>
  <c r="AM8" i="12"/>
  <c r="AL8" i="12"/>
  <c r="EJ7" i="12"/>
  <c r="DY7" i="12"/>
  <c r="DY8" i="12" s="1"/>
  <c r="DY9" i="12" s="1"/>
  <c r="DY10" i="12" s="1"/>
  <c r="DY11" i="12" s="1"/>
  <c r="DY12" i="12" s="1"/>
  <c r="DY13" i="12" s="1"/>
  <c r="DY14" i="12" s="1"/>
  <c r="DY15" i="12" s="1"/>
  <c r="DY16" i="12" s="1"/>
  <c r="DY17" i="12" s="1"/>
  <c r="DY18" i="12" s="1"/>
  <c r="DY19" i="12" s="1"/>
  <c r="DY20" i="12" s="1"/>
  <c r="DY21" i="12" s="1"/>
  <c r="DY22" i="12" s="1"/>
  <c r="DY23" i="12" s="1"/>
  <c r="DY24" i="12" s="1"/>
  <c r="DY25" i="12" s="1"/>
  <c r="DY26" i="12" s="1"/>
  <c r="DY27" i="12" s="1"/>
  <c r="DY28" i="12" s="1"/>
  <c r="DY29" i="12" s="1"/>
  <c r="DY30" i="12" s="1"/>
  <c r="DY31" i="12" s="1"/>
  <c r="DY32" i="12" s="1"/>
  <c r="DY33" i="12" s="1"/>
  <c r="DY34" i="12" s="1"/>
  <c r="DY35" i="12" s="1"/>
  <c r="DY36" i="12" s="1"/>
  <c r="DY37" i="12" s="1"/>
  <c r="DY38" i="12" s="1"/>
  <c r="DY39" i="12" s="1"/>
  <c r="DY40" i="12" s="1"/>
  <c r="DY41" i="12" s="1"/>
  <c r="DY42" i="12" s="1"/>
  <c r="DY43" i="12" s="1"/>
  <c r="DY44" i="12" s="1"/>
  <c r="DY45" i="12" s="1"/>
  <c r="DY46" i="12" s="1"/>
  <c r="DY47" i="12" s="1"/>
  <c r="DY48" i="12" s="1"/>
  <c r="DY49" i="12" s="1"/>
  <c r="DY50" i="12" s="1"/>
  <c r="DY51" i="12" s="1"/>
  <c r="DY52" i="12" s="1"/>
  <c r="DY53" i="12" s="1"/>
  <c r="DY54" i="12" s="1"/>
  <c r="DY55" i="12" s="1"/>
  <c r="DY56" i="12" s="1"/>
  <c r="DY57" i="12" s="1"/>
  <c r="DY58" i="12" s="1"/>
  <c r="DY59" i="12" s="1"/>
  <c r="DY60" i="12" s="1"/>
  <c r="DY61" i="12" s="1"/>
  <c r="DY62" i="12" s="1"/>
  <c r="CQ7" i="12"/>
  <c r="CQ8" i="12" s="1"/>
  <c r="CQ9" i="12" s="1"/>
  <c r="CQ10" i="12" s="1"/>
  <c r="CQ11" i="12" s="1"/>
  <c r="CQ12" i="12" s="1"/>
  <c r="CQ13" i="12" s="1"/>
  <c r="CQ14" i="12" s="1"/>
  <c r="CQ15" i="12" s="1"/>
  <c r="CQ16" i="12" s="1"/>
  <c r="CQ17" i="12" s="1"/>
  <c r="CQ18" i="12" s="1"/>
  <c r="CQ19" i="12" s="1"/>
  <c r="CQ20" i="12" s="1"/>
  <c r="CQ21" i="12" s="1"/>
  <c r="CQ22" i="12" s="1"/>
  <c r="CQ23" i="12" s="1"/>
  <c r="CQ24" i="12" s="1"/>
  <c r="CQ25" i="12" s="1"/>
  <c r="CQ26" i="12" s="1"/>
  <c r="CQ27" i="12" s="1"/>
  <c r="CQ28" i="12" s="1"/>
  <c r="CQ29" i="12" s="1"/>
  <c r="CQ30" i="12" s="1"/>
  <c r="CQ31" i="12" s="1"/>
  <c r="CQ32" i="12" s="1"/>
  <c r="CQ33" i="12" s="1"/>
  <c r="CQ34" i="12" s="1"/>
  <c r="CQ35" i="12" s="1"/>
  <c r="CQ36" i="12" s="1"/>
  <c r="CQ37" i="12" s="1"/>
  <c r="CQ38" i="12" s="1"/>
  <c r="CQ39" i="12" s="1"/>
  <c r="CQ40" i="12" s="1"/>
  <c r="CQ41" i="12" s="1"/>
  <c r="CQ42" i="12" s="1"/>
  <c r="CQ43" i="12" s="1"/>
  <c r="CQ44" i="12" s="1"/>
  <c r="CQ45" i="12" s="1"/>
  <c r="CQ46" i="12" s="1"/>
  <c r="CQ47" i="12" s="1"/>
  <c r="CQ48" i="12" s="1"/>
  <c r="CQ49" i="12" s="1"/>
  <c r="CQ50" i="12" s="1"/>
  <c r="CQ51" i="12" s="1"/>
  <c r="CQ52" i="12" s="1"/>
  <c r="CQ53" i="12" s="1"/>
  <c r="CQ54" i="12" s="1"/>
  <c r="CQ55" i="12" s="1"/>
  <c r="CQ56" i="12" s="1"/>
  <c r="CQ57" i="12" s="1"/>
  <c r="CQ58" i="12" s="1"/>
  <c r="CQ59" i="12" s="1"/>
  <c r="CQ60" i="12" s="1"/>
  <c r="CQ61" i="12" s="1"/>
  <c r="CQ62" i="12" s="1"/>
  <c r="CQ63" i="12" s="1"/>
  <c r="CP7" i="12"/>
  <c r="CP8" i="12" s="1"/>
  <c r="CP9" i="12" s="1"/>
  <c r="CP10" i="12" s="1"/>
  <c r="CP11" i="12" s="1"/>
  <c r="CP12" i="12" s="1"/>
  <c r="CP13" i="12" s="1"/>
  <c r="CP14" i="12" s="1"/>
  <c r="CP15" i="12" s="1"/>
  <c r="CP16" i="12" s="1"/>
  <c r="CP17" i="12" s="1"/>
  <c r="CP18" i="12" s="1"/>
  <c r="CP19" i="12" s="1"/>
  <c r="CP20" i="12" s="1"/>
  <c r="CP21" i="12" s="1"/>
  <c r="CP22" i="12" s="1"/>
  <c r="CP23" i="12" s="1"/>
  <c r="CP24" i="12" s="1"/>
  <c r="CP25" i="12" s="1"/>
  <c r="CP26" i="12" s="1"/>
  <c r="CP27" i="12" s="1"/>
  <c r="CP28" i="12" s="1"/>
  <c r="CP29" i="12" s="1"/>
  <c r="CP30" i="12" s="1"/>
  <c r="CP31" i="12" s="1"/>
  <c r="CP32" i="12" s="1"/>
  <c r="CP33" i="12" s="1"/>
  <c r="CP34" i="12" s="1"/>
  <c r="CP35" i="12" s="1"/>
  <c r="CP36" i="12" s="1"/>
  <c r="CP37" i="12" s="1"/>
  <c r="CP38" i="12" s="1"/>
  <c r="CP39" i="12" s="1"/>
  <c r="CP40" i="12" s="1"/>
  <c r="CP41" i="12" s="1"/>
  <c r="CP42" i="12" s="1"/>
  <c r="CP43" i="12" s="1"/>
  <c r="CP44" i="12" s="1"/>
  <c r="CP45" i="12" s="1"/>
  <c r="CP46" i="12" s="1"/>
  <c r="CP47" i="12" s="1"/>
  <c r="CP48" i="12" s="1"/>
  <c r="CP49" i="12" s="1"/>
  <c r="CP50" i="12" s="1"/>
  <c r="CP51" i="12" s="1"/>
  <c r="CP52" i="12" s="1"/>
  <c r="CP53" i="12" s="1"/>
  <c r="CP54" i="12" s="1"/>
  <c r="CP55" i="12" s="1"/>
  <c r="CP56" i="12" s="1"/>
  <c r="CP57" i="12" s="1"/>
  <c r="CP58" i="12" s="1"/>
  <c r="CP59" i="12" s="1"/>
  <c r="CP60" i="12" s="1"/>
  <c r="CP61" i="12" s="1"/>
  <c r="CP62" i="12" s="1"/>
  <c r="CP63" i="12" s="1"/>
  <c r="BG7" i="12"/>
  <c r="BF7" i="12"/>
  <c r="AM7" i="12"/>
  <c r="AL7" i="12"/>
  <c r="EJ6" i="12"/>
  <c r="DW6" i="12"/>
  <c r="DW7" i="12" s="1"/>
  <c r="DW8" i="12" s="1"/>
  <c r="DW9" i="12" s="1"/>
  <c r="DW10" i="12" s="1"/>
  <c r="DW11" i="12" s="1"/>
  <c r="DW12" i="12" s="1"/>
  <c r="DW13" i="12" s="1"/>
  <c r="DW14" i="12" s="1"/>
  <c r="DW15" i="12" s="1"/>
  <c r="DW16" i="12" s="1"/>
  <c r="DW17" i="12" s="1"/>
  <c r="DW18" i="12" s="1"/>
  <c r="DW19" i="12" s="1"/>
  <c r="DW20" i="12" s="1"/>
  <c r="DW21" i="12" s="1"/>
  <c r="DW22" i="12" s="1"/>
  <c r="DW23" i="12" s="1"/>
  <c r="DW24" i="12" s="1"/>
  <c r="DW25" i="12" s="1"/>
  <c r="DW26" i="12" s="1"/>
  <c r="DW27" i="12" s="1"/>
  <c r="DW28" i="12" s="1"/>
  <c r="DW29" i="12" s="1"/>
  <c r="DW30" i="12" s="1"/>
  <c r="DW31" i="12" s="1"/>
  <c r="DW32" i="12" s="1"/>
  <c r="DW33" i="12" s="1"/>
  <c r="DW34" i="12" s="1"/>
  <c r="DW35" i="12" s="1"/>
  <c r="DW36" i="12" s="1"/>
  <c r="DW37" i="12" s="1"/>
  <c r="DW38" i="12" s="1"/>
  <c r="DW39" i="12" s="1"/>
  <c r="DW40" i="12" s="1"/>
  <c r="DW41" i="12" s="1"/>
  <c r="DW42" i="12" s="1"/>
  <c r="DW43" i="12" s="1"/>
  <c r="DW44" i="12" s="1"/>
  <c r="DW45" i="12" s="1"/>
  <c r="DW46" i="12" s="1"/>
  <c r="DW47" i="12" s="1"/>
  <c r="DW48" i="12" s="1"/>
  <c r="DW49" i="12" s="1"/>
  <c r="DW50" i="12" s="1"/>
  <c r="DW51" i="12" s="1"/>
  <c r="DW52" i="12" s="1"/>
  <c r="DW53" i="12" s="1"/>
  <c r="DW54" i="12" s="1"/>
  <c r="DW55" i="12" s="1"/>
  <c r="DW56" i="12" s="1"/>
  <c r="DW57" i="12" s="1"/>
  <c r="DW58" i="12" s="1"/>
  <c r="DW59" i="12" s="1"/>
  <c r="DW60" i="12" s="1"/>
  <c r="DW61" i="12" s="1"/>
  <c r="DW62" i="12" s="1"/>
  <c r="DV6" i="12"/>
  <c r="DV7" i="12" s="1"/>
  <c r="DV8" i="12" s="1"/>
  <c r="DV9" i="12" s="1"/>
  <c r="DV10" i="12" s="1"/>
  <c r="DV11" i="12" s="1"/>
  <c r="DV12" i="12" s="1"/>
  <c r="DV13" i="12" s="1"/>
  <c r="DV14" i="12" s="1"/>
  <c r="DV15" i="12" s="1"/>
  <c r="DV16" i="12" s="1"/>
  <c r="DV17" i="12" s="1"/>
  <c r="DV18" i="12" s="1"/>
  <c r="DV19" i="12" s="1"/>
  <c r="DV20" i="12" s="1"/>
  <c r="DV21" i="12" s="1"/>
  <c r="DV22" i="12" s="1"/>
  <c r="DV23" i="12" s="1"/>
  <c r="DV24" i="12" s="1"/>
  <c r="DV25" i="12" s="1"/>
  <c r="DV26" i="12" s="1"/>
  <c r="DV27" i="12" s="1"/>
  <c r="DV28" i="12" s="1"/>
  <c r="DV29" i="12" s="1"/>
  <c r="DV30" i="12" s="1"/>
  <c r="DV31" i="12" s="1"/>
  <c r="DV32" i="12" s="1"/>
  <c r="DV33" i="12" s="1"/>
  <c r="DV34" i="12" s="1"/>
  <c r="DV35" i="12" s="1"/>
  <c r="DV36" i="12" s="1"/>
  <c r="DV37" i="12" s="1"/>
  <c r="DV38" i="12" s="1"/>
  <c r="DV39" i="12" s="1"/>
  <c r="DV40" i="12" s="1"/>
  <c r="DV41" i="12" s="1"/>
  <c r="DV42" i="12" s="1"/>
  <c r="DV43" i="12" s="1"/>
  <c r="DV44" i="12" s="1"/>
  <c r="DV45" i="12" s="1"/>
  <c r="DV46" i="12" s="1"/>
  <c r="DV47" i="12" s="1"/>
  <c r="DV48" i="12" s="1"/>
  <c r="DV49" i="12" s="1"/>
  <c r="DV50" i="12" s="1"/>
  <c r="DV51" i="12" s="1"/>
  <c r="DV52" i="12" s="1"/>
  <c r="DV53" i="12" s="1"/>
  <c r="DV54" i="12" s="1"/>
  <c r="DV55" i="12" s="1"/>
  <c r="DV56" i="12" s="1"/>
  <c r="DV57" i="12" s="1"/>
  <c r="DV58" i="12" s="1"/>
  <c r="DV59" i="12" s="1"/>
  <c r="DV60" i="12" s="1"/>
  <c r="DV61" i="12" s="1"/>
  <c r="DV62" i="12" s="1"/>
  <c r="DU6" i="12"/>
  <c r="DU7" i="12" s="1"/>
  <c r="DU8" i="12" s="1"/>
  <c r="DU9" i="12" s="1"/>
  <c r="DU10" i="12" s="1"/>
  <c r="DU11" i="12" s="1"/>
  <c r="DU12" i="12" s="1"/>
  <c r="DU13" i="12" s="1"/>
  <c r="DU14" i="12" s="1"/>
  <c r="DU15" i="12" s="1"/>
  <c r="DU16" i="12" s="1"/>
  <c r="DU17" i="12" s="1"/>
  <c r="DU18" i="12" s="1"/>
  <c r="DU19" i="12" s="1"/>
  <c r="DU20" i="12" s="1"/>
  <c r="DU21" i="12" s="1"/>
  <c r="DU22" i="12" s="1"/>
  <c r="DU23" i="12" s="1"/>
  <c r="DU24" i="12" s="1"/>
  <c r="DU25" i="12" s="1"/>
  <c r="DU26" i="12" s="1"/>
  <c r="DU27" i="12" s="1"/>
  <c r="DU28" i="12" s="1"/>
  <c r="DU29" i="12" s="1"/>
  <c r="DU30" i="12" s="1"/>
  <c r="DU31" i="12" s="1"/>
  <c r="DU32" i="12" s="1"/>
  <c r="DU33" i="12" s="1"/>
  <c r="DU34" i="12" s="1"/>
  <c r="DU35" i="12" s="1"/>
  <c r="DU36" i="12" s="1"/>
  <c r="DU37" i="12" s="1"/>
  <c r="DU38" i="12" s="1"/>
  <c r="DU39" i="12" s="1"/>
  <c r="DU40" i="12" s="1"/>
  <c r="DU41" i="12" s="1"/>
  <c r="DU42" i="12" s="1"/>
  <c r="DU43" i="12" s="1"/>
  <c r="DU44" i="12" s="1"/>
  <c r="DU45" i="12" s="1"/>
  <c r="DU46" i="12" s="1"/>
  <c r="DU47" i="12" s="1"/>
  <c r="DU48" i="12" s="1"/>
  <c r="DU49" i="12" s="1"/>
  <c r="DU50" i="12" s="1"/>
  <c r="DU51" i="12" s="1"/>
  <c r="DU52" i="12" s="1"/>
  <c r="DU53" i="12" s="1"/>
  <c r="DU54" i="12" s="1"/>
  <c r="DU55" i="12" s="1"/>
  <c r="DU56" i="12" s="1"/>
  <c r="DU57" i="12" s="1"/>
  <c r="DU58" i="12" s="1"/>
  <c r="DU59" i="12" s="1"/>
  <c r="DU60" i="12" s="1"/>
  <c r="DU61" i="12" s="1"/>
  <c r="DU62" i="12" s="1"/>
  <c r="BG6" i="12"/>
  <c r="BF6" i="12"/>
  <c r="AM6" i="12"/>
  <c r="AL6" i="12"/>
  <c r="EJ5" i="12"/>
  <c r="EB5" i="12"/>
  <c r="EB6" i="12" s="1"/>
  <c r="EB7" i="12" s="1"/>
  <c r="EB8" i="12" s="1"/>
  <c r="EB9" i="12" s="1"/>
  <c r="EB10" i="12" s="1"/>
  <c r="EB11" i="12" s="1"/>
  <c r="EB12" i="12" s="1"/>
  <c r="EB13" i="12" s="1"/>
  <c r="EB14" i="12" s="1"/>
  <c r="EB15" i="12" s="1"/>
  <c r="EB16" i="12" s="1"/>
  <c r="EB17" i="12" s="1"/>
  <c r="EB18" i="12" s="1"/>
  <c r="EB19" i="12" s="1"/>
  <c r="EB20" i="12" s="1"/>
  <c r="EB21" i="12" s="1"/>
  <c r="EB22" i="12" s="1"/>
  <c r="EB23" i="12" s="1"/>
  <c r="EB24" i="12" s="1"/>
  <c r="EB25" i="12" s="1"/>
  <c r="EB26" i="12" s="1"/>
  <c r="EB27" i="12" s="1"/>
  <c r="EB28" i="12" s="1"/>
  <c r="EB29" i="12" s="1"/>
  <c r="EB30" i="12" s="1"/>
  <c r="EB31" i="12" s="1"/>
  <c r="EB32" i="12" s="1"/>
  <c r="EB33" i="12" s="1"/>
  <c r="EB34" i="12" s="1"/>
  <c r="EB35" i="12" s="1"/>
  <c r="EB36" i="12" s="1"/>
  <c r="EB37" i="12" s="1"/>
  <c r="EB38" i="12" s="1"/>
  <c r="EB39" i="12" s="1"/>
  <c r="EB40" i="12" s="1"/>
  <c r="EB41" i="12" s="1"/>
  <c r="EB42" i="12" s="1"/>
  <c r="EA5" i="12"/>
  <c r="EA6" i="12" s="1"/>
  <c r="EA7" i="12" s="1"/>
  <c r="EA8" i="12" s="1"/>
  <c r="EA9" i="12" s="1"/>
  <c r="EA10" i="12" s="1"/>
  <c r="EA11" i="12" s="1"/>
  <c r="EA12" i="12" s="1"/>
  <c r="EA13" i="12" s="1"/>
  <c r="EA14" i="12" s="1"/>
  <c r="EA15" i="12" s="1"/>
  <c r="EA16" i="12" s="1"/>
  <c r="EA17" i="12" s="1"/>
  <c r="EA18" i="12" s="1"/>
  <c r="EA19" i="12" s="1"/>
  <c r="EA20" i="12" s="1"/>
  <c r="EA21" i="12" s="1"/>
  <c r="EA22" i="12" s="1"/>
  <c r="EA23" i="12" s="1"/>
  <c r="EA24" i="12" s="1"/>
  <c r="EA25" i="12" s="1"/>
  <c r="EA26" i="12" s="1"/>
  <c r="EA27" i="12" s="1"/>
  <c r="EA28" i="12" s="1"/>
  <c r="EA29" i="12" s="1"/>
  <c r="EA30" i="12" s="1"/>
  <c r="EA31" i="12" s="1"/>
  <c r="EA32" i="12" s="1"/>
  <c r="EA33" i="12" s="1"/>
  <c r="EA34" i="12" s="1"/>
  <c r="EA35" i="12" s="1"/>
  <c r="EA36" i="12" s="1"/>
  <c r="EA37" i="12" s="1"/>
  <c r="EA38" i="12" s="1"/>
  <c r="EA39" i="12" s="1"/>
  <c r="EA40" i="12" s="1"/>
  <c r="EA41" i="12" s="1"/>
  <c r="EA42" i="12" s="1"/>
  <c r="EA43" i="12" s="1"/>
  <c r="EA44" i="12" s="1"/>
  <c r="EA45" i="12" s="1"/>
  <c r="EA46" i="12" s="1"/>
  <c r="EA47" i="12" s="1"/>
  <c r="EA48" i="12" s="1"/>
  <c r="EA49" i="12" s="1"/>
  <c r="EA50" i="12" s="1"/>
  <c r="EA51" i="12" s="1"/>
  <c r="EA52" i="12" s="1"/>
  <c r="EA53" i="12" s="1"/>
  <c r="EA54" i="12" s="1"/>
  <c r="EA55" i="12" s="1"/>
  <c r="EA56" i="12" s="1"/>
  <c r="EA57" i="12" s="1"/>
  <c r="EA58" i="12" s="1"/>
  <c r="EA59" i="12" s="1"/>
  <c r="EA60" i="12" s="1"/>
  <c r="EA61" i="12" s="1"/>
  <c r="EA62" i="12" s="1"/>
  <c r="DW5" i="12"/>
  <c r="DV5" i="12"/>
  <c r="DU5" i="12"/>
  <c r="DT5" i="12"/>
  <c r="DT6" i="12" s="1"/>
  <c r="DT7" i="12" s="1"/>
  <c r="DT8" i="12" s="1"/>
  <c r="DT9" i="12" s="1"/>
  <c r="DT10" i="12" s="1"/>
  <c r="DT11" i="12" s="1"/>
  <c r="DT12" i="12" s="1"/>
  <c r="DT13" i="12" s="1"/>
  <c r="DT14" i="12" s="1"/>
  <c r="DT15" i="12" s="1"/>
  <c r="DT16" i="12" s="1"/>
  <c r="DT17" i="12" s="1"/>
  <c r="DT18" i="12" s="1"/>
  <c r="DT19" i="12" s="1"/>
  <c r="DT20" i="12" s="1"/>
  <c r="DT21" i="12" s="1"/>
  <c r="DT22" i="12" s="1"/>
  <c r="DT23" i="12" s="1"/>
  <c r="DT24" i="12" s="1"/>
  <c r="DT25" i="12" s="1"/>
  <c r="DT26" i="12" s="1"/>
  <c r="DT27" i="12" s="1"/>
  <c r="DT28" i="12" s="1"/>
  <c r="DT29" i="12" s="1"/>
  <c r="DT30" i="12" s="1"/>
  <c r="DT31" i="12" s="1"/>
  <c r="DT32" i="12" s="1"/>
  <c r="DT33" i="12" s="1"/>
  <c r="DT34" i="12" s="1"/>
  <c r="DT35" i="12" s="1"/>
  <c r="DT36" i="12" s="1"/>
  <c r="DT37" i="12" s="1"/>
  <c r="DT38" i="12" s="1"/>
  <c r="DT39" i="12" s="1"/>
  <c r="DT40" i="12" s="1"/>
  <c r="DT41" i="12" s="1"/>
  <c r="DT42" i="12" s="1"/>
  <c r="DT43" i="12" s="1"/>
  <c r="DT44" i="12" s="1"/>
  <c r="DT45" i="12" s="1"/>
  <c r="DT46" i="12" s="1"/>
  <c r="DT47" i="12" s="1"/>
  <c r="DT48" i="12" s="1"/>
  <c r="DT49" i="12" s="1"/>
  <c r="DT50" i="12" s="1"/>
  <c r="DT51" i="12" s="1"/>
  <c r="DT52" i="12" s="1"/>
  <c r="DT53" i="12" s="1"/>
  <c r="DT54" i="12" s="1"/>
  <c r="DT55" i="12" s="1"/>
  <c r="DT56" i="12" s="1"/>
  <c r="DT57" i="12" s="1"/>
  <c r="DT58" i="12" s="1"/>
  <c r="DT59" i="12" s="1"/>
  <c r="DT60" i="12" s="1"/>
  <c r="DT61" i="12" s="1"/>
  <c r="DT62" i="12" s="1"/>
  <c r="BG5" i="12"/>
  <c r="BF5" i="12"/>
  <c r="AM5" i="12"/>
  <c r="AL5" i="12"/>
  <c r="P5" i="12"/>
  <c r="P6" i="12" s="1"/>
  <c r="P7" i="12" s="1"/>
  <c r="P8" i="12" s="1"/>
  <c r="P9" i="12" s="1"/>
  <c r="P10" i="12" s="1"/>
  <c r="P11" i="12" s="1"/>
  <c r="P12" i="12" s="1"/>
  <c r="P13" i="12" s="1"/>
  <c r="P14" i="12" s="1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EJ4" i="12"/>
  <c r="EE4" i="12"/>
  <c r="EE5" i="12" s="1"/>
  <c r="EE6" i="12" s="1"/>
  <c r="EE7" i="12" s="1"/>
  <c r="EE8" i="12" s="1"/>
  <c r="EB4" i="12"/>
  <c r="EA4" i="12"/>
  <c r="DY4" i="12"/>
  <c r="DY5" i="12" s="1"/>
  <c r="DY6" i="12" s="1"/>
  <c r="DX4" i="12"/>
  <c r="DX5" i="12" s="1"/>
  <c r="DX6" i="12" s="1"/>
  <c r="DX7" i="12" s="1"/>
  <c r="DX8" i="12" s="1"/>
  <c r="DX9" i="12" s="1"/>
  <c r="DX10" i="12" s="1"/>
  <c r="DX11" i="12" s="1"/>
  <c r="DX12" i="12" s="1"/>
  <c r="DX13" i="12" s="1"/>
  <c r="DX14" i="12" s="1"/>
  <c r="DX15" i="12" s="1"/>
  <c r="DX16" i="12" s="1"/>
  <c r="DX17" i="12" s="1"/>
  <c r="DX18" i="12" s="1"/>
  <c r="DX19" i="12" s="1"/>
  <c r="DX20" i="12" s="1"/>
  <c r="DX21" i="12" s="1"/>
  <c r="DX22" i="12" s="1"/>
  <c r="DX23" i="12" s="1"/>
  <c r="DX24" i="12" s="1"/>
  <c r="DX25" i="12" s="1"/>
  <c r="DX26" i="12" s="1"/>
  <c r="DX27" i="12" s="1"/>
  <c r="DX28" i="12" s="1"/>
  <c r="DX29" i="12" s="1"/>
  <c r="DX30" i="12" s="1"/>
  <c r="DX31" i="12" s="1"/>
  <c r="DX32" i="12" s="1"/>
  <c r="DX33" i="12" s="1"/>
  <c r="DX34" i="12" s="1"/>
  <c r="DX35" i="12" s="1"/>
  <c r="DX36" i="12" s="1"/>
  <c r="DX37" i="12" s="1"/>
  <c r="DX38" i="12" s="1"/>
  <c r="DX39" i="12" s="1"/>
  <c r="DX40" i="12" s="1"/>
  <c r="DX41" i="12" s="1"/>
  <c r="DX42" i="12" s="1"/>
  <c r="DX43" i="12" s="1"/>
  <c r="DX44" i="12" s="1"/>
  <c r="DX45" i="12" s="1"/>
  <c r="DX46" i="12" s="1"/>
  <c r="DX47" i="12" s="1"/>
  <c r="DX48" i="12" s="1"/>
  <c r="DX49" i="12" s="1"/>
  <c r="DX50" i="12" s="1"/>
  <c r="DX51" i="12" s="1"/>
  <c r="DX52" i="12" s="1"/>
  <c r="DX53" i="12" s="1"/>
  <c r="DX54" i="12" s="1"/>
  <c r="DX55" i="12" s="1"/>
  <c r="DX56" i="12" s="1"/>
  <c r="DX57" i="12" s="1"/>
  <c r="DX58" i="12" s="1"/>
  <c r="DX59" i="12" s="1"/>
  <c r="DX60" i="12" s="1"/>
  <c r="DX61" i="12" s="1"/>
  <c r="DX62" i="12" s="1"/>
  <c r="DW4" i="12"/>
  <c r="DV4" i="12"/>
  <c r="DU4" i="12"/>
  <c r="DT4" i="12"/>
  <c r="DD4" i="12"/>
  <c r="DD5" i="12" s="1"/>
  <c r="DD6" i="12" s="1"/>
  <c r="DD7" i="12" s="1"/>
  <c r="DD8" i="12" s="1"/>
  <c r="DD9" i="12" s="1"/>
  <c r="DD10" i="12" s="1"/>
  <c r="DD11" i="12" s="1"/>
  <c r="DD12" i="12" s="1"/>
  <c r="DD13" i="12" s="1"/>
  <c r="DD14" i="12" s="1"/>
  <c r="DD15" i="12" s="1"/>
  <c r="DD16" i="12" s="1"/>
  <c r="DD17" i="12" s="1"/>
  <c r="DD18" i="12" s="1"/>
  <c r="DD19" i="12" s="1"/>
  <c r="DD20" i="12" s="1"/>
  <c r="DD21" i="12" s="1"/>
  <c r="DD22" i="12" s="1"/>
  <c r="DD23" i="12" s="1"/>
  <c r="DD24" i="12" s="1"/>
  <c r="DD25" i="12" s="1"/>
  <c r="DD26" i="12" s="1"/>
  <c r="DD27" i="12" s="1"/>
  <c r="DD28" i="12" s="1"/>
  <c r="DD29" i="12" s="1"/>
  <c r="DD30" i="12" s="1"/>
  <c r="DD31" i="12" s="1"/>
  <c r="DD32" i="12" s="1"/>
  <c r="DD33" i="12" s="1"/>
  <c r="DD34" i="12" s="1"/>
  <c r="DD35" i="12" s="1"/>
  <c r="DD36" i="12" s="1"/>
  <c r="DD37" i="12" s="1"/>
  <c r="DD38" i="12" s="1"/>
  <c r="DD39" i="12" s="1"/>
  <c r="DD40" i="12" s="1"/>
  <c r="DD41" i="12" s="1"/>
  <c r="DD42" i="12" s="1"/>
  <c r="DD43" i="12" s="1"/>
  <c r="DD44" i="12" s="1"/>
  <c r="DD45" i="12" s="1"/>
  <c r="DD46" i="12" s="1"/>
  <c r="DD47" i="12" s="1"/>
  <c r="DD48" i="12" s="1"/>
  <c r="DD49" i="12" s="1"/>
  <c r="DD50" i="12" s="1"/>
  <c r="DD51" i="12" s="1"/>
  <c r="DD52" i="12" s="1"/>
  <c r="DD53" i="12" s="1"/>
  <c r="DD54" i="12" s="1"/>
  <c r="DD55" i="12" s="1"/>
  <c r="DD56" i="12" s="1"/>
  <c r="DD57" i="12" s="1"/>
  <c r="DD58" i="12" s="1"/>
  <c r="DD59" i="12" s="1"/>
  <c r="DD60" i="12" s="1"/>
  <c r="DD61" i="12" s="1"/>
  <c r="DD62" i="12" s="1"/>
  <c r="DD63" i="12" s="1"/>
  <c r="DD64" i="12" s="1"/>
  <c r="DD65" i="12" s="1"/>
  <c r="DD66" i="12" s="1"/>
  <c r="DD67" i="12" s="1"/>
  <c r="DD68" i="12" s="1"/>
  <c r="DD69" i="12" s="1"/>
  <c r="DD70" i="12" s="1"/>
  <c r="DD71" i="12" s="1"/>
  <c r="DD72" i="12" s="1"/>
  <c r="DD73" i="12" s="1"/>
  <c r="DD74" i="12" s="1"/>
  <c r="DD75" i="12" s="1"/>
  <c r="DD76" i="12" s="1"/>
  <c r="DD77" i="12" s="1"/>
  <c r="DD78" i="12" s="1"/>
  <c r="DD79" i="12" s="1"/>
  <c r="DD80" i="12" s="1"/>
  <c r="DD81" i="12" s="1"/>
  <c r="DD82" i="12" s="1"/>
  <c r="DD83" i="12" s="1"/>
  <c r="DD84" i="12" s="1"/>
  <c r="DD85" i="12" s="1"/>
  <c r="DD86" i="12" s="1"/>
  <c r="DD87" i="12" s="1"/>
  <c r="DD88" i="12" s="1"/>
  <c r="DD89" i="12" s="1"/>
  <c r="DD90" i="12" s="1"/>
  <c r="DD91" i="12" s="1"/>
  <c r="DD92" i="12" s="1"/>
  <c r="DD93" i="12" s="1"/>
  <c r="DD94" i="12" s="1"/>
  <c r="DD95" i="12" s="1"/>
  <c r="DD96" i="12" s="1"/>
  <c r="DD97" i="12" s="1"/>
  <c r="DD98" i="12" s="1"/>
  <c r="DD99" i="12" s="1"/>
  <c r="DD100" i="12" s="1"/>
  <c r="DD101" i="12" s="1"/>
  <c r="DD102" i="12" s="1"/>
  <c r="DD103" i="12" s="1"/>
  <c r="DD104" i="12" s="1"/>
  <c r="DD105" i="12" s="1"/>
  <c r="DD106" i="12" s="1"/>
  <c r="DD107" i="12" s="1"/>
  <c r="DD108" i="12" s="1"/>
  <c r="DD109" i="12" s="1"/>
  <c r="DD110" i="12" s="1"/>
  <c r="DD111" i="12" s="1"/>
  <c r="DD112" i="12" s="1"/>
  <c r="DD113" i="12" s="1"/>
  <c r="DD114" i="12" s="1"/>
  <c r="DD115" i="12" s="1"/>
  <c r="DD116" i="12" s="1"/>
  <c r="DD117" i="12" s="1"/>
  <c r="DD118" i="12" s="1"/>
  <c r="DD119" i="12" s="1"/>
  <c r="DD120" i="12" s="1"/>
  <c r="DD121" i="12" s="1"/>
  <c r="DD122" i="12" s="1"/>
  <c r="DD123" i="12" s="1"/>
  <c r="DD124" i="12" s="1"/>
  <c r="DD125" i="12" s="1"/>
  <c r="DD126" i="12" s="1"/>
  <c r="DD127" i="12" s="1"/>
  <c r="DD128" i="12" s="1"/>
  <c r="DD129" i="12" s="1"/>
  <c r="DD130" i="12" s="1"/>
  <c r="DD131" i="12" s="1"/>
  <c r="DD132" i="12" s="1"/>
  <c r="DD133" i="12" s="1"/>
  <c r="DD134" i="12" s="1"/>
  <c r="DD135" i="12" s="1"/>
  <c r="DD136" i="12" s="1"/>
  <c r="DD137" i="12" s="1"/>
  <c r="DD138" i="12" s="1"/>
  <c r="DD139" i="12" s="1"/>
  <c r="DD140" i="12" s="1"/>
  <c r="DD141" i="12" s="1"/>
  <c r="DD142" i="12" s="1"/>
  <c r="B29" i="2" s="1"/>
  <c r="DB4" i="12"/>
  <c r="DB5" i="12" s="1"/>
  <c r="DB6" i="12" s="1"/>
  <c r="DB7" i="12" s="1"/>
  <c r="DB8" i="12" s="1"/>
  <c r="DB9" i="12" s="1"/>
  <c r="DB10" i="12" s="1"/>
  <c r="DB11" i="12" s="1"/>
  <c r="DB12" i="12" s="1"/>
  <c r="DB13" i="12" s="1"/>
  <c r="DB14" i="12" s="1"/>
  <c r="DB15" i="12" s="1"/>
  <c r="DB16" i="12" s="1"/>
  <c r="DB17" i="12" s="1"/>
  <c r="DB18" i="12" s="1"/>
  <c r="DB19" i="12" s="1"/>
  <c r="DB20" i="12" s="1"/>
  <c r="DB21" i="12" s="1"/>
  <c r="DB22" i="12" s="1"/>
  <c r="DB23" i="12" s="1"/>
  <c r="DB24" i="12" s="1"/>
  <c r="DB25" i="12" s="1"/>
  <c r="DB26" i="12" s="1"/>
  <c r="DB27" i="12" s="1"/>
  <c r="DB28" i="12" s="1"/>
  <c r="DB29" i="12" s="1"/>
  <c r="DB30" i="12" s="1"/>
  <c r="DB31" i="12" s="1"/>
  <c r="DB32" i="12" s="1"/>
  <c r="DB33" i="12" s="1"/>
  <c r="DB34" i="12" s="1"/>
  <c r="DB35" i="12" s="1"/>
  <c r="DB36" i="12" s="1"/>
  <c r="DB37" i="12" s="1"/>
  <c r="DB38" i="12" s="1"/>
  <c r="DB39" i="12" s="1"/>
  <c r="DB40" i="12" s="1"/>
  <c r="DB41" i="12" s="1"/>
  <c r="DB42" i="12" s="1"/>
  <c r="DB43" i="12" s="1"/>
  <c r="DB44" i="12" s="1"/>
  <c r="DB45" i="12" s="1"/>
  <c r="DB46" i="12" s="1"/>
  <c r="DB47" i="12" s="1"/>
  <c r="DB48" i="12" s="1"/>
  <c r="DB49" i="12" s="1"/>
  <c r="DB50" i="12" s="1"/>
  <c r="DB51" i="12" s="1"/>
  <c r="DB52" i="12" s="1"/>
  <c r="DB53" i="12" s="1"/>
  <c r="DB54" i="12" s="1"/>
  <c r="DB55" i="12" s="1"/>
  <c r="DB56" i="12" s="1"/>
  <c r="DB57" i="12" s="1"/>
  <c r="DB58" i="12" s="1"/>
  <c r="DB59" i="12" s="1"/>
  <c r="DB60" i="12" s="1"/>
  <c r="DB61" i="12" s="1"/>
  <c r="DB62" i="12" s="1"/>
  <c r="DB63" i="12" s="1"/>
  <c r="DB64" i="12" s="1"/>
  <c r="DB65" i="12" s="1"/>
  <c r="DB66" i="12" s="1"/>
  <c r="DB67" i="12" s="1"/>
  <c r="DB68" i="12" s="1"/>
  <c r="DB69" i="12" s="1"/>
  <c r="DB70" i="12" s="1"/>
  <c r="DB71" i="12" s="1"/>
  <c r="DB72" i="12" s="1"/>
  <c r="DB73" i="12" s="1"/>
  <c r="DB74" i="12" s="1"/>
  <c r="DB75" i="12" s="1"/>
  <c r="DB76" i="12" s="1"/>
  <c r="DB77" i="12" s="1"/>
  <c r="DB78" i="12" s="1"/>
  <c r="DB79" i="12" s="1"/>
  <c r="DB80" i="12" s="1"/>
  <c r="DB81" i="12" s="1"/>
  <c r="DB82" i="12" s="1"/>
  <c r="DB83" i="12" s="1"/>
  <c r="DB84" i="12" s="1"/>
  <c r="DB85" i="12" s="1"/>
  <c r="DB86" i="12" s="1"/>
  <c r="DB87" i="12" s="1"/>
  <c r="DB88" i="12" s="1"/>
  <c r="DB89" i="12" s="1"/>
  <c r="DB90" i="12" s="1"/>
  <c r="DB91" i="12" s="1"/>
  <c r="DB92" i="12" s="1"/>
  <c r="DB93" i="12" s="1"/>
  <c r="DB94" i="12" s="1"/>
  <c r="DB95" i="12" s="1"/>
  <c r="DB96" i="12" s="1"/>
  <c r="DB97" i="12" s="1"/>
  <c r="DB98" i="12" s="1"/>
  <c r="DB99" i="12" s="1"/>
  <c r="DB100" i="12" s="1"/>
  <c r="DB101" i="12" s="1"/>
  <c r="DB102" i="12" s="1"/>
  <c r="DB103" i="12" s="1"/>
  <c r="DB104" i="12" s="1"/>
  <c r="DB105" i="12" s="1"/>
  <c r="DB106" i="12" s="1"/>
  <c r="DB107" i="12" s="1"/>
  <c r="DB108" i="12" s="1"/>
  <c r="DB109" i="12" s="1"/>
  <c r="DB110" i="12" s="1"/>
  <c r="DB111" i="12" s="1"/>
  <c r="DB112" i="12" s="1"/>
  <c r="DB113" i="12" s="1"/>
  <c r="DB114" i="12" s="1"/>
  <c r="DB115" i="12" s="1"/>
  <c r="DB116" i="12" s="1"/>
  <c r="DB117" i="12" s="1"/>
  <c r="DB118" i="12" s="1"/>
  <c r="DB119" i="12" s="1"/>
  <c r="DB120" i="12" s="1"/>
  <c r="DB121" i="12" s="1"/>
  <c r="DB122" i="12" s="1"/>
  <c r="DB123" i="12" s="1"/>
  <c r="DB124" i="12" s="1"/>
  <c r="DB125" i="12" s="1"/>
  <c r="DB126" i="12" s="1"/>
  <c r="DB127" i="12" s="1"/>
  <c r="DB128" i="12" s="1"/>
  <c r="DB129" i="12" s="1"/>
  <c r="DB130" i="12" s="1"/>
  <c r="DB131" i="12" s="1"/>
  <c r="DB132" i="12" s="1"/>
  <c r="DB133" i="12" s="1"/>
  <c r="DB134" i="12" s="1"/>
  <c r="DB135" i="12" s="1"/>
  <c r="DB136" i="12" s="1"/>
  <c r="DB137" i="12" s="1"/>
  <c r="DB138" i="12" s="1"/>
  <c r="DB139" i="12" s="1"/>
  <c r="DB140" i="12" s="1"/>
  <c r="DB141" i="12" s="1"/>
  <c r="DB142" i="12" s="1"/>
  <c r="B28" i="2" s="1"/>
  <c r="CY4" i="12"/>
  <c r="CY5" i="12" s="1"/>
  <c r="CY6" i="12" s="1"/>
  <c r="CY7" i="12" s="1"/>
  <c r="CY8" i="12" s="1"/>
  <c r="CY9" i="12" s="1"/>
  <c r="CY10" i="12" s="1"/>
  <c r="CY11" i="12" s="1"/>
  <c r="CY12" i="12" s="1"/>
  <c r="CY13" i="12" s="1"/>
  <c r="CY14" i="12" s="1"/>
  <c r="CY15" i="12" s="1"/>
  <c r="CY16" i="12" s="1"/>
  <c r="CY17" i="12" s="1"/>
  <c r="CY18" i="12" s="1"/>
  <c r="CY19" i="12" s="1"/>
  <c r="CY20" i="12" s="1"/>
  <c r="CY21" i="12" s="1"/>
  <c r="CY22" i="12" s="1"/>
  <c r="CY23" i="12" s="1"/>
  <c r="CY24" i="12" s="1"/>
  <c r="CY25" i="12" s="1"/>
  <c r="CY26" i="12" s="1"/>
  <c r="CY27" i="12" s="1"/>
  <c r="CY28" i="12" s="1"/>
  <c r="CY29" i="12" s="1"/>
  <c r="CY30" i="12" s="1"/>
  <c r="CY31" i="12" s="1"/>
  <c r="CY32" i="12" s="1"/>
  <c r="CY33" i="12" s="1"/>
  <c r="CY34" i="12" s="1"/>
  <c r="CY35" i="12" s="1"/>
  <c r="CY36" i="12" s="1"/>
  <c r="CY37" i="12" s="1"/>
  <c r="CY38" i="12" s="1"/>
  <c r="CY39" i="12" s="1"/>
  <c r="CY40" i="12" s="1"/>
  <c r="CY41" i="12" s="1"/>
  <c r="CY42" i="12" s="1"/>
  <c r="CY43" i="12" s="1"/>
  <c r="CY44" i="12" s="1"/>
  <c r="CY45" i="12" s="1"/>
  <c r="CY46" i="12" s="1"/>
  <c r="CY47" i="12" s="1"/>
  <c r="CX4" i="12"/>
  <c r="CX5" i="12" s="1"/>
  <c r="CX6" i="12" s="1"/>
  <c r="CX7" i="12" s="1"/>
  <c r="CX8" i="12" s="1"/>
  <c r="CX9" i="12" s="1"/>
  <c r="CX10" i="12" s="1"/>
  <c r="CX11" i="12" s="1"/>
  <c r="CX12" i="12" s="1"/>
  <c r="CX13" i="12" s="1"/>
  <c r="CX14" i="12" s="1"/>
  <c r="CX15" i="12" s="1"/>
  <c r="CX16" i="12" s="1"/>
  <c r="CX17" i="12" s="1"/>
  <c r="CX18" i="12" s="1"/>
  <c r="CX19" i="12" s="1"/>
  <c r="CX20" i="12" s="1"/>
  <c r="CX21" i="12" s="1"/>
  <c r="CX22" i="12" s="1"/>
  <c r="CX23" i="12" s="1"/>
  <c r="CX24" i="12" s="1"/>
  <c r="CX25" i="12" s="1"/>
  <c r="CX26" i="12" s="1"/>
  <c r="CX27" i="12" s="1"/>
  <c r="CX28" i="12" s="1"/>
  <c r="CX29" i="12" s="1"/>
  <c r="CX30" i="12" s="1"/>
  <c r="CX31" i="12" s="1"/>
  <c r="CX32" i="12" s="1"/>
  <c r="CX33" i="12" s="1"/>
  <c r="CX34" i="12" s="1"/>
  <c r="CX35" i="12" s="1"/>
  <c r="CX36" i="12" s="1"/>
  <c r="CX37" i="12" s="1"/>
  <c r="CX38" i="12" s="1"/>
  <c r="CX39" i="12" s="1"/>
  <c r="CX40" i="12" s="1"/>
  <c r="CX41" i="12" s="1"/>
  <c r="CX42" i="12" s="1"/>
  <c r="CX43" i="12" s="1"/>
  <c r="CX44" i="12" s="1"/>
  <c r="CX45" i="12" s="1"/>
  <c r="CX46" i="12" s="1"/>
  <c r="CX47" i="12" s="1"/>
  <c r="CG4" i="12"/>
  <c r="CG5" i="12" s="1"/>
  <c r="CG6" i="12" s="1"/>
  <c r="CG7" i="12" s="1"/>
  <c r="CG8" i="12" s="1"/>
  <c r="CG9" i="12" s="1"/>
  <c r="CF4" i="12"/>
  <c r="CF5" i="12" s="1"/>
  <c r="CF6" i="12" s="1"/>
  <c r="CF7" i="12" s="1"/>
  <c r="CF8" i="12" s="1"/>
  <c r="CF9" i="12" s="1"/>
  <c r="BU4" i="12"/>
  <c r="BU5" i="12" s="1"/>
  <c r="BU6" i="12" s="1"/>
  <c r="BU7" i="12" s="1"/>
  <c r="BU8" i="12" s="1"/>
  <c r="BU9" i="12" s="1"/>
  <c r="BU10" i="12" s="1"/>
  <c r="BU11" i="12" s="1"/>
  <c r="BU12" i="12" s="1"/>
  <c r="BU13" i="12" s="1"/>
  <c r="BU14" i="12" s="1"/>
  <c r="BU15" i="12" s="1"/>
  <c r="BU16" i="12" s="1"/>
  <c r="BU17" i="12" s="1"/>
  <c r="BU18" i="12" s="1"/>
  <c r="BU19" i="12" s="1"/>
  <c r="BU20" i="12" s="1"/>
  <c r="BU21" i="12" s="1"/>
  <c r="BU22" i="12" s="1"/>
  <c r="BU23" i="12" s="1"/>
  <c r="BU24" i="12" s="1"/>
  <c r="BU25" i="12" s="1"/>
  <c r="BU26" i="12" s="1"/>
  <c r="BU27" i="12" s="1"/>
  <c r="BU28" i="12" s="1"/>
  <c r="BU29" i="12" s="1"/>
  <c r="BU30" i="12" s="1"/>
  <c r="BU31" i="12" s="1"/>
  <c r="BU32" i="12" s="1"/>
  <c r="BU33" i="12" s="1"/>
  <c r="BU34" i="12" s="1"/>
  <c r="BU35" i="12" s="1"/>
  <c r="BU36" i="12" s="1"/>
  <c r="BU37" i="12" s="1"/>
  <c r="BU38" i="12" s="1"/>
  <c r="BU39" i="12" s="1"/>
  <c r="BU40" i="12" s="1"/>
  <c r="BU41" i="12" s="1"/>
  <c r="BU42" i="12" s="1"/>
  <c r="BU43" i="12" s="1"/>
  <c r="BU44" i="12" s="1"/>
  <c r="BU45" i="12" s="1"/>
  <c r="BU46" i="12" s="1"/>
  <c r="BU47" i="12" s="1"/>
  <c r="BU48" i="12" s="1"/>
  <c r="BU49" i="12" s="1"/>
  <c r="BU50" i="12" s="1"/>
  <c r="BU51" i="12" s="1"/>
  <c r="BU52" i="12" s="1"/>
  <c r="BU53" i="12" s="1"/>
  <c r="BU54" i="12" s="1"/>
  <c r="BU55" i="12" s="1"/>
  <c r="BU56" i="12" s="1"/>
  <c r="BU57" i="12" s="1"/>
  <c r="BU58" i="12" s="1"/>
  <c r="BU59" i="12" s="1"/>
  <c r="BU60" i="12" s="1"/>
  <c r="BU61" i="12" s="1"/>
  <c r="BU62" i="12" s="1"/>
  <c r="BU63" i="12" s="1"/>
  <c r="BQ4" i="12"/>
  <c r="BQ5" i="12" s="1"/>
  <c r="BQ6" i="12" s="1"/>
  <c r="BQ7" i="12" s="1"/>
  <c r="BQ8" i="12" s="1"/>
  <c r="BQ9" i="12" s="1"/>
  <c r="BQ10" i="12" s="1"/>
  <c r="BQ11" i="12" s="1"/>
  <c r="BQ12" i="12" s="1"/>
  <c r="BQ13" i="12" s="1"/>
  <c r="BQ14" i="12" s="1"/>
  <c r="BQ15" i="12" s="1"/>
  <c r="BQ16" i="12" s="1"/>
  <c r="BQ17" i="12" s="1"/>
  <c r="BQ18" i="12" s="1"/>
  <c r="BQ19" i="12" s="1"/>
  <c r="BQ20" i="12" s="1"/>
  <c r="BQ21" i="12" s="1"/>
  <c r="BQ22" i="12" s="1"/>
  <c r="BQ23" i="12" s="1"/>
  <c r="BQ24" i="12" s="1"/>
  <c r="BQ25" i="12" s="1"/>
  <c r="BQ26" i="12" s="1"/>
  <c r="BQ27" i="12" s="1"/>
  <c r="BQ28" i="12" s="1"/>
  <c r="BQ29" i="12" s="1"/>
  <c r="BQ30" i="12" s="1"/>
  <c r="BQ31" i="12" s="1"/>
  <c r="BQ32" i="12" s="1"/>
  <c r="BQ33" i="12" s="1"/>
  <c r="BQ34" i="12" s="1"/>
  <c r="BQ35" i="12" s="1"/>
  <c r="BQ36" i="12" s="1"/>
  <c r="BQ37" i="12" s="1"/>
  <c r="BQ38" i="12" s="1"/>
  <c r="BQ39" i="12" s="1"/>
  <c r="BQ40" i="12" s="1"/>
  <c r="BQ41" i="12" s="1"/>
  <c r="BQ42" i="12" s="1"/>
  <c r="BQ43" i="12" s="1"/>
  <c r="BQ44" i="12" s="1"/>
  <c r="BQ45" i="12" s="1"/>
  <c r="BQ46" i="12" s="1"/>
  <c r="BQ47" i="12" s="1"/>
  <c r="BQ48" i="12" s="1"/>
  <c r="BQ49" i="12" s="1"/>
  <c r="BQ50" i="12" s="1"/>
  <c r="BQ51" i="12" s="1"/>
  <c r="BQ52" i="12" s="1"/>
  <c r="BQ53" i="12" s="1"/>
  <c r="BQ54" i="12" s="1"/>
  <c r="BQ55" i="12" s="1"/>
  <c r="BQ56" i="12" s="1"/>
  <c r="BQ57" i="12" s="1"/>
  <c r="BQ58" i="12" s="1"/>
  <c r="BQ59" i="12" s="1"/>
  <c r="BQ60" i="12" s="1"/>
  <c r="BQ61" i="12" s="1"/>
  <c r="BQ62" i="12" s="1"/>
  <c r="BQ63" i="12" s="1"/>
  <c r="BP4" i="12"/>
  <c r="BP5" i="12" s="1"/>
  <c r="BP6" i="12" s="1"/>
  <c r="BP7" i="12" s="1"/>
  <c r="BP8" i="12" s="1"/>
  <c r="BP9" i="12" s="1"/>
  <c r="BP10" i="12" s="1"/>
  <c r="BP11" i="12" s="1"/>
  <c r="BP12" i="12" s="1"/>
  <c r="BP13" i="12" s="1"/>
  <c r="BP14" i="12" s="1"/>
  <c r="BP15" i="12" s="1"/>
  <c r="BP16" i="12" s="1"/>
  <c r="BP17" i="12" s="1"/>
  <c r="BP18" i="12" s="1"/>
  <c r="BP19" i="12" s="1"/>
  <c r="BP20" i="12" s="1"/>
  <c r="BP21" i="12" s="1"/>
  <c r="BP22" i="12" s="1"/>
  <c r="BP23" i="12" s="1"/>
  <c r="BP24" i="12" s="1"/>
  <c r="BP25" i="12" s="1"/>
  <c r="BP26" i="12" s="1"/>
  <c r="BP27" i="12" s="1"/>
  <c r="BP28" i="12" s="1"/>
  <c r="BP29" i="12" s="1"/>
  <c r="BP30" i="12" s="1"/>
  <c r="BP31" i="12" s="1"/>
  <c r="BP32" i="12" s="1"/>
  <c r="BP33" i="12" s="1"/>
  <c r="BP34" i="12" s="1"/>
  <c r="BP35" i="12" s="1"/>
  <c r="BP36" i="12" s="1"/>
  <c r="BP37" i="12" s="1"/>
  <c r="BP38" i="12" s="1"/>
  <c r="BP39" i="12" s="1"/>
  <c r="BP40" i="12" s="1"/>
  <c r="BP41" i="12" s="1"/>
  <c r="BP42" i="12" s="1"/>
  <c r="BP43" i="12" s="1"/>
  <c r="BP44" i="12" s="1"/>
  <c r="BP45" i="12" s="1"/>
  <c r="BP46" i="12" s="1"/>
  <c r="BP47" i="12" s="1"/>
  <c r="BP48" i="12" s="1"/>
  <c r="BP49" i="12" s="1"/>
  <c r="BP50" i="12" s="1"/>
  <c r="BP51" i="12" s="1"/>
  <c r="BP52" i="12" s="1"/>
  <c r="BP53" i="12" s="1"/>
  <c r="BP54" i="12" s="1"/>
  <c r="BP55" i="12" s="1"/>
  <c r="BP56" i="12" s="1"/>
  <c r="BP57" i="12" s="1"/>
  <c r="BP58" i="12" s="1"/>
  <c r="BP59" i="12" s="1"/>
  <c r="BP60" i="12" s="1"/>
  <c r="BP61" i="12" s="1"/>
  <c r="BP62" i="12" s="1"/>
  <c r="BP63" i="12" s="1"/>
  <c r="BO4" i="12"/>
  <c r="BO5" i="12" s="1"/>
  <c r="BO6" i="12" s="1"/>
  <c r="BO7" i="12" s="1"/>
  <c r="BO8" i="12" s="1"/>
  <c r="BO9" i="12" s="1"/>
  <c r="BO10" i="12" s="1"/>
  <c r="BO11" i="12" s="1"/>
  <c r="BO12" i="12" s="1"/>
  <c r="BO13" i="12" s="1"/>
  <c r="BO14" i="12" s="1"/>
  <c r="BO15" i="12" s="1"/>
  <c r="BO16" i="12" s="1"/>
  <c r="BO17" i="12" s="1"/>
  <c r="BO18" i="12" s="1"/>
  <c r="BO19" i="12" s="1"/>
  <c r="BO20" i="12" s="1"/>
  <c r="BO21" i="12" s="1"/>
  <c r="BO22" i="12" s="1"/>
  <c r="BO23" i="12" s="1"/>
  <c r="BO24" i="12" s="1"/>
  <c r="BO25" i="12" s="1"/>
  <c r="BO26" i="12" s="1"/>
  <c r="BO27" i="12" s="1"/>
  <c r="BO28" i="12" s="1"/>
  <c r="BO29" i="12" s="1"/>
  <c r="BO30" i="12" s="1"/>
  <c r="BO31" i="12" s="1"/>
  <c r="BO32" i="12" s="1"/>
  <c r="BO33" i="12" s="1"/>
  <c r="BO34" i="12" s="1"/>
  <c r="BO35" i="12" s="1"/>
  <c r="BO36" i="12" s="1"/>
  <c r="BO37" i="12" s="1"/>
  <c r="BO38" i="12" s="1"/>
  <c r="BO39" i="12" s="1"/>
  <c r="BO40" i="12" s="1"/>
  <c r="BO41" i="12" s="1"/>
  <c r="BO42" i="12" s="1"/>
  <c r="BO43" i="12" s="1"/>
  <c r="BO44" i="12" s="1"/>
  <c r="BO45" i="12" s="1"/>
  <c r="BO46" i="12" s="1"/>
  <c r="BO47" i="12" s="1"/>
  <c r="BO48" i="12" s="1"/>
  <c r="BO49" i="12" s="1"/>
  <c r="BO50" i="12" s="1"/>
  <c r="BO51" i="12" s="1"/>
  <c r="BO52" i="12" s="1"/>
  <c r="BO53" i="12" s="1"/>
  <c r="BO54" i="12" s="1"/>
  <c r="BO55" i="12" s="1"/>
  <c r="BO56" i="12" s="1"/>
  <c r="BO57" i="12" s="1"/>
  <c r="BO58" i="12" s="1"/>
  <c r="BO59" i="12" s="1"/>
  <c r="BO60" i="12" s="1"/>
  <c r="BO61" i="12" s="1"/>
  <c r="BO62" i="12" s="1"/>
  <c r="BO63" i="12" s="1"/>
  <c r="BG4" i="12"/>
  <c r="BF4" i="12"/>
  <c r="P4" i="12"/>
  <c r="N4" i="12"/>
  <c r="K4" i="12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Y3" i="12"/>
  <c r="CX3" i="12"/>
  <c r="CW3" i="12"/>
  <c r="CW4" i="12" s="1"/>
  <c r="CW5" i="12" s="1"/>
  <c r="CW6" i="12" s="1"/>
  <c r="CW7" i="12" s="1"/>
  <c r="CW8" i="12" s="1"/>
  <c r="CW9" i="12" s="1"/>
  <c r="CW10" i="12" s="1"/>
  <c r="CW11" i="12" s="1"/>
  <c r="CW12" i="12" s="1"/>
  <c r="CW13" i="12" s="1"/>
  <c r="CW14" i="12" s="1"/>
  <c r="CW15" i="12" s="1"/>
  <c r="CW16" i="12" s="1"/>
  <c r="CW17" i="12" s="1"/>
  <c r="CW18" i="12" s="1"/>
  <c r="CW19" i="12" s="1"/>
  <c r="CW20" i="12" s="1"/>
  <c r="CW21" i="12" s="1"/>
  <c r="CW22" i="12" s="1"/>
  <c r="CW23" i="12" s="1"/>
  <c r="CW24" i="12" s="1"/>
  <c r="CW25" i="12" s="1"/>
  <c r="CW26" i="12" s="1"/>
  <c r="CW27" i="12" s="1"/>
  <c r="CW28" i="12" s="1"/>
  <c r="CW29" i="12" s="1"/>
  <c r="CW30" i="12" s="1"/>
  <c r="CW31" i="12" s="1"/>
  <c r="CW32" i="12" s="1"/>
  <c r="CW33" i="12" s="1"/>
  <c r="CW34" i="12" s="1"/>
  <c r="CW35" i="12" s="1"/>
  <c r="CW36" i="12" s="1"/>
  <c r="CW37" i="12" s="1"/>
  <c r="CW38" i="12" s="1"/>
  <c r="CW39" i="12" s="1"/>
  <c r="CW40" i="12" s="1"/>
  <c r="CW41" i="12" s="1"/>
  <c r="CW42" i="12" s="1"/>
  <c r="CW43" i="12" s="1"/>
  <c r="CW44" i="12" s="1"/>
  <c r="CW45" i="12" s="1"/>
  <c r="CW46" i="12" s="1"/>
  <c r="CW47" i="12" s="1"/>
  <c r="CW48" i="12" s="1"/>
  <c r="CW49" i="12" s="1"/>
  <c r="CW50" i="12" s="1"/>
  <c r="CW51" i="12" s="1"/>
  <c r="CW52" i="12" s="1"/>
  <c r="CW53" i="12" s="1"/>
  <c r="CW54" i="12" s="1"/>
  <c r="CW55" i="12" s="1"/>
  <c r="CW56" i="12" s="1"/>
  <c r="CW57" i="12" s="1"/>
  <c r="CW58" i="12" s="1"/>
  <c r="CW59" i="12" s="1"/>
  <c r="CW60" i="12" s="1"/>
  <c r="CW61" i="12" s="1"/>
  <c r="CW62" i="12" s="1"/>
  <c r="CW63" i="12" s="1"/>
  <c r="CV3" i="12"/>
  <c r="CV4" i="12" s="1"/>
  <c r="CV5" i="12" s="1"/>
  <c r="CV6" i="12" s="1"/>
  <c r="CV7" i="12" s="1"/>
  <c r="CV8" i="12" s="1"/>
  <c r="CV9" i="12" s="1"/>
  <c r="CV10" i="12" s="1"/>
  <c r="CV11" i="12" s="1"/>
  <c r="CV12" i="12" s="1"/>
  <c r="CV13" i="12" s="1"/>
  <c r="CV14" i="12" s="1"/>
  <c r="CV15" i="12" s="1"/>
  <c r="CV16" i="12" s="1"/>
  <c r="CV17" i="12" s="1"/>
  <c r="CV18" i="12" s="1"/>
  <c r="CV19" i="12" s="1"/>
  <c r="CV20" i="12" s="1"/>
  <c r="CV21" i="12" s="1"/>
  <c r="CV22" i="12" s="1"/>
  <c r="CV23" i="12" s="1"/>
  <c r="CV24" i="12" s="1"/>
  <c r="CV25" i="12" s="1"/>
  <c r="CV26" i="12" s="1"/>
  <c r="CV27" i="12" s="1"/>
  <c r="CV28" i="12" s="1"/>
  <c r="CV29" i="12" s="1"/>
  <c r="CV30" i="12" s="1"/>
  <c r="CV31" i="12" s="1"/>
  <c r="CV32" i="12" s="1"/>
  <c r="CV33" i="12" s="1"/>
  <c r="CV34" i="12" s="1"/>
  <c r="CV35" i="12" s="1"/>
  <c r="CV36" i="12" s="1"/>
  <c r="CV37" i="12" s="1"/>
  <c r="CV38" i="12" s="1"/>
  <c r="CV39" i="12" s="1"/>
  <c r="CV40" i="12" s="1"/>
  <c r="CV41" i="12" s="1"/>
  <c r="CV42" i="12" s="1"/>
  <c r="CV43" i="12" s="1"/>
  <c r="CV44" i="12" s="1"/>
  <c r="CV45" i="12" s="1"/>
  <c r="CV46" i="12" s="1"/>
  <c r="CV47" i="12" s="1"/>
  <c r="CV48" i="12" s="1"/>
  <c r="CV49" i="12" s="1"/>
  <c r="CV50" i="12" s="1"/>
  <c r="CV51" i="12" s="1"/>
  <c r="CV52" i="12" s="1"/>
  <c r="CV53" i="12" s="1"/>
  <c r="CV54" i="12" s="1"/>
  <c r="CV55" i="12" s="1"/>
  <c r="CV56" i="12" s="1"/>
  <c r="CV57" i="12" s="1"/>
  <c r="CV58" i="12" s="1"/>
  <c r="CV59" i="12" s="1"/>
  <c r="CV60" i="12" s="1"/>
  <c r="CV61" i="12" s="1"/>
  <c r="CV62" i="12" s="1"/>
  <c r="CV63" i="12" s="1"/>
  <c r="CU3" i="12"/>
  <c r="CU4" i="12" s="1"/>
  <c r="CU5" i="12" s="1"/>
  <c r="CU6" i="12" s="1"/>
  <c r="CU7" i="12" s="1"/>
  <c r="CU8" i="12" s="1"/>
  <c r="CU9" i="12" s="1"/>
  <c r="CU10" i="12" s="1"/>
  <c r="CU11" i="12" s="1"/>
  <c r="CU12" i="12" s="1"/>
  <c r="CU13" i="12" s="1"/>
  <c r="CU14" i="12" s="1"/>
  <c r="CU15" i="12" s="1"/>
  <c r="CU16" i="12" s="1"/>
  <c r="CU17" i="12" s="1"/>
  <c r="CU18" i="12" s="1"/>
  <c r="CU19" i="12" s="1"/>
  <c r="CU20" i="12" s="1"/>
  <c r="CU21" i="12" s="1"/>
  <c r="CU22" i="12" s="1"/>
  <c r="CU23" i="12" s="1"/>
  <c r="CU24" i="12" s="1"/>
  <c r="CU25" i="12" s="1"/>
  <c r="CU26" i="12" s="1"/>
  <c r="CU27" i="12" s="1"/>
  <c r="CU28" i="12" s="1"/>
  <c r="CU29" i="12" s="1"/>
  <c r="CU30" i="12" s="1"/>
  <c r="CU31" i="12" s="1"/>
  <c r="CU32" i="12" s="1"/>
  <c r="CU33" i="12" s="1"/>
  <c r="CU34" i="12" s="1"/>
  <c r="CU35" i="12" s="1"/>
  <c r="CU36" i="12" s="1"/>
  <c r="CU37" i="12" s="1"/>
  <c r="CU38" i="12" s="1"/>
  <c r="CU39" i="12" s="1"/>
  <c r="CU40" i="12" s="1"/>
  <c r="CU41" i="12" s="1"/>
  <c r="CU42" i="12" s="1"/>
  <c r="CU43" i="12" s="1"/>
  <c r="CU44" i="12" s="1"/>
  <c r="CU45" i="12" s="1"/>
  <c r="CU46" i="12" s="1"/>
  <c r="CU47" i="12" s="1"/>
  <c r="CU48" i="12" s="1"/>
  <c r="CU49" i="12" s="1"/>
  <c r="CU50" i="12" s="1"/>
  <c r="CU51" i="12" s="1"/>
  <c r="CU52" i="12" s="1"/>
  <c r="CU53" i="12" s="1"/>
  <c r="CU54" i="12" s="1"/>
  <c r="CU55" i="12" s="1"/>
  <c r="CU56" i="12" s="1"/>
  <c r="CU57" i="12" s="1"/>
  <c r="CU58" i="12" s="1"/>
  <c r="CU59" i="12" s="1"/>
  <c r="CU60" i="12" s="1"/>
  <c r="CU61" i="12" s="1"/>
  <c r="CU62" i="12" s="1"/>
  <c r="CU63" i="12" s="1"/>
  <c r="CT3" i="12"/>
  <c r="CT4" i="12" s="1"/>
  <c r="CT5" i="12" s="1"/>
  <c r="CT6" i="12" s="1"/>
  <c r="CT7" i="12" s="1"/>
  <c r="CT8" i="12" s="1"/>
  <c r="CT9" i="12" s="1"/>
  <c r="CT10" i="12" s="1"/>
  <c r="CT11" i="12" s="1"/>
  <c r="CT12" i="12" s="1"/>
  <c r="CT13" i="12" s="1"/>
  <c r="CT14" i="12" s="1"/>
  <c r="CT15" i="12" s="1"/>
  <c r="CT16" i="12" s="1"/>
  <c r="CT17" i="12" s="1"/>
  <c r="CT18" i="12" s="1"/>
  <c r="CT19" i="12" s="1"/>
  <c r="CT20" i="12" s="1"/>
  <c r="CT21" i="12" s="1"/>
  <c r="CT22" i="12" s="1"/>
  <c r="CT23" i="12" s="1"/>
  <c r="CT24" i="12" s="1"/>
  <c r="CT25" i="12" s="1"/>
  <c r="CT26" i="12" s="1"/>
  <c r="CT27" i="12" s="1"/>
  <c r="CT28" i="12" s="1"/>
  <c r="CT29" i="12" s="1"/>
  <c r="CT30" i="12" s="1"/>
  <c r="CT31" i="12" s="1"/>
  <c r="CT32" i="12" s="1"/>
  <c r="CT33" i="12" s="1"/>
  <c r="CT34" i="12" s="1"/>
  <c r="CT35" i="12" s="1"/>
  <c r="CT36" i="12" s="1"/>
  <c r="CT37" i="12" s="1"/>
  <c r="CT38" i="12" s="1"/>
  <c r="CT39" i="12" s="1"/>
  <c r="CT40" i="12" s="1"/>
  <c r="CT41" i="12" s="1"/>
  <c r="CT42" i="12" s="1"/>
  <c r="CT43" i="12" s="1"/>
  <c r="CT44" i="12" s="1"/>
  <c r="CT45" i="12" s="1"/>
  <c r="CT46" i="12" s="1"/>
  <c r="CT47" i="12" s="1"/>
  <c r="CT48" i="12" s="1"/>
  <c r="CT49" i="12" s="1"/>
  <c r="CT50" i="12" s="1"/>
  <c r="CT51" i="12" s="1"/>
  <c r="CT52" i="12" s="1"/>
  <c r="CT53" i="12" s="1"/>
  <c r="CT54" i="12" s="1"/>
  <c r="CT55" i="12" s="1"/>
  <c r="CT56" i="12" s="1"/>
  <c r="CT57" i="12" s="1"/>
  <c r="CT58" i="12" s="1"/>
  <c r="CT59" i="12" s="1"/>
  <c r="CT60" i="12" s="1"/>
  <c r="CT61" i="12" s="1"/>
  <c r="CT62" i="12" s="1"/>
  <c r="CT63" i="12" s="1"/>
  <c r="CS3" i="12"/>
  <c r="CS4" i="12" s="1"/>
  <c r="CS5" i="12" s="1"/>
  <c r="CS6" i="12" s="1"/>
  <c r="CS7" i="12" s="1"/>
  <c r="CR3" i="12"/>
  <c r="CR4" i="12" s="1"/>
  <c r="CR5" i="12" s="1"/>
  <c r="CR6" i="12" s="1"/>
  <c r="CR7" i="12" s="1"/>
  <c r="CQ3" i="12"/>
  <c r="CQ4" i="12" s="1"/>
  <c r="CQ5" i="12" s="1"/>
  <c r="CQ6" i="12" s="1"/>
  <c r="CP3" i="12"/>
  <c r="CP4" i="12" s="1"/>
  <c r="CP5" i="12" s="1"/>
  <c r="CP6" i="12" s="1"/>
  <c r="CN3" i="12"/>
  <c r="CN4" i="12" s="1"/>
  <c r="CN5" i="12" s="1"/>
  <c r="CN6" i="12" s="1"/>
  <c r="CN7" i="12" s="1"/>
  <c r="CN8" i="12" s="1"/>
  <c r="CN9" i="12" s="1"/>
  <c r="CN10" i="12" s="1"/>
  <c r="CN11" i="12" s="1"/>
  <c r="CN12" i="12" s="1"/>
  <c r="CN13" i="12" s="1"/>
  <c r="CN14" i="12" s="1"/>
  <c r="CN15" i="12" s="1"/>
  <c r="CN16" i="12" s="1"/>
  <c r="CN17" i="12" s="1"/>
  <c r="CN18" i="12" s="1"/>
  <c r="CN19" i="12" s="1"/>
  <c r="CN20" i="12" s="1"/>
  <c r="CN21" i="12" s="1"/>
  <c r="CN22" i="12" s="1"/>
  <c r="CN23" i="12" s="1"/>
  <c r="CN24" i="12" s="1"/>
  <c r="CN25" i="12" s="1"/>
  <c r="CN26" i="12" s="1"/>
  <c r="CN27" i="12" s="1"/>
  <c r="CN28" i="12" s="1"/>
  <c r="CN29" i="12" s="1"/>
  <c r="CN30" i="12" s="1"/>
  <c r="CN31" i="12" s="1"/>
  <c r="CN32" i="12" s="1"/>
  <c r="CN33" i="12" s="1"/>
  <c r="CN34" i="12" s="1"/>
  <c r="CN35" i="12" s="1"/>
  <c r="CN36" i="12" s="1"/>
  <c r="CN37" i="12" s="1"/>
  <c r="CN38" i="12" s="1"/>
  <c r="CN39" i="12" s="1"/>
  <c r="CN40" i="12" s="1"/>
  <c r="CN41" i="12" s="1"/>
  <c r="CN42" i="12" s="1"/>
  <c r="CN43" i="12" s="1"/>
  <c r="CN44" i="12" s="1"/>
  <c r="CN45" i="12" s="1"/>
  <c r="CN46" i="12" s="1"/>
  <c r="CN47" i="12" s="1"/>
  <c r="CN48" i="12" s="1"/>
  <c r="CN49" i="12" s="1"/>
  <c r="CN50" i="12" s="1"/>
  <c r="CN51" i="12" s="1"/>
  <c r="CN52" i="12" s="1"/>
  <c r="CN53" i="12" s="1"/>
  <c r="CN54" i="12" s="1"/>
  <c r="CN55" i="12" s="1"/>
  <c r="CN56" i="12" s="1"/>
  <c r="CN57" i="12" s="1"/>
  <c r="CN58" i="12" s="1"/>
  <c r="CN59" i="12" s="1"/>
  <c r="CN60" i="12" s="1"/>
  <c r="CN61" i="12" s="1"/>
  <c r="CN62" i="12" s="1"/>
  <c r="CN63" i="12" s="1"/>
  <c r="CM3" i="12"/>
  <c r="CM4" i="12" s="1"/>
  <c r="CM5" i="12" s="1"/>
  <c r="CM6" i="12" s="1"/>
  <c r="CM7" i="12" s="1"/>
  <c r="CM8" i="12" s="1"/>
  <c r="CM9" i="12" s="1"/>
  <c r="CM10" i="12" s="1"/>
  <c r="CM11" i="12" s="1"/>
  <c r="CM12" i="12" s="1"/>
  <c r="CM13" i="12" s="1"/>
  <c r="CM14" i="12" s="1"/>
  <c r="CM15" i="12" s="1"/>
  <c r="CM16" i="12" s="1"/>
  <c r="CM17" i="12" s="1"/>
  <c r="CM18" i="12" s="1"/>
  <c r="CM19" i="12" s="1"/>
  <c r="CM20" i="12" s="1"/>
  <c r="CM21" i="12" s="1"/>
  <c r="CM22" i="12" s="1"/>
  <c r="CM23" i="12" s="1"/>
  <c r="CM24" i="12" s="1"/>
  <c r="CM25" i="12" s="1"/>
  <c r="CM26" i="12" s="1"/>
  <c r="CM27" i="12" s="1"/>
  <c r="CM28" i="12" s="1"/>
  <c r="CM29" i="12" s="1"/>
  <c r="CM30" i="12" s="1"/>
  <c r="CM31" i="12" s="1"/>
  <c r="CM32" i="12" s="1"/>
  <c r="CM33" i="12" s="1"/>
  <c r="CM34" i="12" s="1"/>
  <c r="CM35" i="12" s="1"/>
  <c r="CM36" i="12" s="1"/>
  <c r="CM37" i="12" s="1"/>
  <c r="CM38" i="12" s="1"/>
  <c r="CM39" i="12" s="1"/>
  <c r="CM40" i="12" s="1"/>
  <c r="CM41" i="12" s="1"/>
  <c r="CM42" i="12" s="1"/>
  <c r="CM43" i="12" s="1"/>
  <c r="CM44" i="12" s="1"/>
  <c r="CM45" i="12" s="1"/>
  <c r="CM46" i="12" s="1"/>
  <c r="CM47" i="12" s="1"/>
  <c r="CM48" i="12" s="1"/>
  <c r="CM49" i="12" s="1"/>
  <c r="CM50" i="12" s="1"/>
  <c r="CM51" i="12" s="1"/>
  <c r="CM52" i="12" s="1"/>
  <c r="CM53" i="12" s="1"/>
  <c r="CM54" i="12" s="1"/>
  <c r="CM55" i="12" s="1"/>
  <c r="CM56" i="12" s="1"/>
  <c r="CM57" i="12" s="1"/>
  <c r="CM58" i="12" s="1"/>
  <c r="CM59" i="12" s="1"/>
  <c r="CM60" i="12" s="1"/>
  <c r="CM61" i="12" s="1"/>
  <c r="CM62" i="12" s="1"/>
  <c r="CM63" i="12" s="1"/>
  <c r="CL3" i="12"/>
  <c r="CL4" i="12" s="1"/>
  <c r="CL5" i="12" s="1"/>
  <c r="CL6" i="12" s="1"/>
  <c r="CL7" i="12" s="1"/>
  <c r="CL8" i="12" s="1"/>
  <c r="CL9" i="12" s="1"/>
  <c r="CL10" i="12" s="1"/>
  <c r="CL11" i="12" s="1"/>
  <c r="CL12" i="12" s="1"/>
  <c r="CL13" i="12" s="1"/>
  <c r="CL14" i="12" s="1"/>
  <c r="CL15" i="12" s="1"/>
  <c r="CL16" i="12" s="1"/>
  <c r="CL17" i="12" s="1"/>
  <c r="CL18" i="12" s="1"/>
  <c r="CL19" i="12" s="1"/>
  <c r="CL20" i="12" s="1"/>
  <c r="CL21" i="12" s="1"/>
  <c r="CL22" i="12" s="1"/>
  <c r="CL23" i="12" s="1"/>
  <c r="CL24" i="12" s="1"/>
  <c r="CL25" i="12" s="1"/>
  <c r="CL26" i="12" s="1"/>
  <c r="CL27" i="12" s="1"/>
  <c r="CL28" i="12" s="1"/>
  <c r="CL29" i="12" s="1"/>
  <c r="CL30" i="12" s="1"/>
  <c r="CL31" i="12" s="1"/>
  <c r="CL32" i="12" s="1"/>
  <c r="CL33" i="12" s="1"/>
  <c r="CL34" i="12" s="1"/>
  <c r="CL35" i="12" s="1"/>
  <c r="CL36" i="12" s="1"/>
  <c r="CL37" i="12" s="1"/>
  <c r="CL38" i="12" s="1"/>
  <c r="CL39" i="12" s="1"/>
  <c r="CL40" i="12" s="1"/>
  <c r="CL41" i="12" s="1"/>
  <c r="CL42" i="12" s="1"/>
  <c r="CL43" i="12" s="1"/>
  <c r="CL44" i="12" s="1"/>
  <c r="CL45" i="12" s="1"/>
  <c r="CL46" i="12" s="1"/>
  <c r="CL47" i="12" s="1"/>
  <c r="CL48" i="12" s="1"/>
  <c r="CL49" i="12" s="1"/>
  <c r="CL50" i="12" s="1"/>
  <c r="CL51" i="12" s="1"/>
  <c r="CL52" i="12" s="1"/>
  <c r="CL53" i="12" s="1"/>
  <c r="CL54" i="12" s="1"/>
  <c r="CL55" i="12" s="1"/>
  <c r="CL56" i="12" s="1"/>
  <c r="CL57" i="12" s="1"/>
  <c r="CL58" i="12" s="1"/>
  <c r="CL59" i="12" s="1"/>
  <c r="CL60" i="12" s="1"/>
  <c r="CL61" i="12" s="1"/>
  <c r="CL62" i="12" s="1"/>
  <c r="CL63" i="12" s="1"/>
  <c r="CK3" i="12"/>
  <c r="CK4" i="12" s="1"/>
  <c r="CK5" i="12" s="1"/>
  <c r="CK6" i="12" s="1"/>
  <c r="CK7" i="12" s="1"/>
  <c r="CK8" i="12" s="1"/>
  <c r="CK9" i="12" s="1"/>
  <c r="CK10" i="12" s="1"/>
  <c r="CK11" i="12" s="1"/>
  <c r="CK12" i="12" s="1"/>
  <c r="CK13" i="12" s="1"/>
  <c r="CK14" i="12" s="1"/>
  <c r="CK15" i="12" s="1"/>
  <c r="CK16" i="12" s="1"/>
  <c r="CK17" i="12" s="1"/>
  <c r="CK18" i="12" s="1"/>
  <c r="CK19" i="12" s="1"/>
  <c r="CK20" i="12" s="1"/>
  <c r="CK21" i="12" s="1"/>
  <c r="CK22" i="12" s="1"/>
  <c r="CK23" i="12" s="1"/>
  <c r="CK24" i="12" s="1"/>
  <c r="CK25" i="12" s="1"/>
  <c r="CK26" i="12" s="1"/>
  <c r="CK27" i="12" s="1"/>
  <c r="CK28" i="12" s="1"/>
  <c r="CK29" i="12" s="1"/>
  <c r="CK30" i="12" s="1"/>
  <c r="CK31" i="12" s="1"/>
  <c r="CK32" i="12" s="1"/>
  <c r="CK33" i="12" s="1"/>
  <c r="CK34" i="12" s="1"/>
  <c r="CK35" i="12" s="1"/>
  <c r="CK36" i="12" s="1"/>
  <c r="CK37" i="12" s="1"/>
  <c r="CK38" i="12" s="1"/>
  <c r="CK39" i="12" s="1"/>
  <c r="CK40" i="12" s="1"/>
  <c r="CK41" i="12" s="1"/>
  <c r="CK42" i="12" s="1"/>
  <c r="CK43" i="12" s="1"/>
  <c r="CK44" i="12" s="1"/>
  <c r="CK45" i="12" s="1"/>
  <c r="CK46" i="12" s="1"/>
  <c r="CK47" i="12" s="1"/>
  <c r="CK48" i="12" s="1"/>
  <c r="CK49" i="12" s="1"/>
  <c r="CK50" i="12" s="1"/>
  <c r="CK51" i="12" s="1"/>
  <c r="CK52" i="12" s="1"/>
  <c r="CK53" i="12" s="1"/>
  <c r="CK54" i="12" s="1"/>
  <c r="CK55" i="12" s="1"/>
  <c r="CK56" i="12" s="1"/>
  <c r="CK57" i="12" s="1"/>
  <c r="CK58" i="12" s="1"/>
  <c r="CK59" i="12" s="1"/>
  <c r="CK60" i="12" s="1"/>
  <c r="CK61" i="12" s="1"/>
  <c r="CK62" i="12" s="1"/>
  <c r="CK63" i="12" s="1"/>
  <c r="CJ3" i="12"/>
  <c r="CJ4" i="12" s="1"/>
  <c r="CJ5" i="12" s="1"/>
  <c r="CJ6" i="12" s="1"/>
  <c r="CJ7" i="12" s="1"/>
  <c r="CJ8" i="12" s="1"/>
  <c r="CJ9" i="12" s="1"/>
  <c r="CJ10" i="12" s="1"/>
  <c r="CJ11" i="12" s="1"/>
  <c r="CJ12" i="12" s="1"/>
  <c r="CJ13" i="12" s="1"/>
  <c r="CJ14" i="12" s="1"/>
  <c r="CJ15" i="12" s="1"/>
  <c r="CJ16" i="12" s="1"/>
  <c r="CJ17" i="12" s="1"/>
  <c r="CJ18" i="12" s="1"/>
  <c r="CJ19" i="12" s="1"/>
  <c r="CJ20" i="12" s="1"/>
  <c r="CJ21" i="12" s="1"/>
  <c r="CJ22" i="12" s="1"/>
  <c r="CJ23" i="12" s="1"/>
  <c r="CJ24" i="12" s="1"/>
  <c r="CJ25" i="12" s="1"/>
  <c r="CJ26" i="12" s="1"/>
  <c r="CJ27" i="12" s="1"/>
  <c r="CJ28" i="12" s="1"/>
  <c r="CJ29" i="12" s="1"/>
  <c r="CJ30" i="12" s="1"/>
  <c r="CJ31" i="12" s="1"/>
  <c r="CJ32" i="12" s="1"/>
  <c r="CJ33" i="12" s="1"/>
  <c r="CJ34" i="12" s="1"/>
  <c r="CJ35" i="12" s="1"/>
  <c r="CJ36" i="12" s="1"/>
  <c r="CJ37" i="12" s="1"/>
  <c r="CJ38" i="12" s="1"/>
  <c r="CJ39" i="12" s="1"/>
  <c r="CJ40" i="12" s="1"/>
  <c r="CJ41" i="12" s="1"/>
  <c r="CJ42" i="12" s="1"/>
  <c r="CJ43" i="12" s="1"/>
  <c r="CJ44" i="12" s="1"/>
  <c r="CJ45" i="12" s="1"/>
  <c r="CJ46" i="12" s="1"/>
  <c r="CJ47" i="12" s="1"/>
  <c r="CJ48" i="12" s="1"/>
  <c r="CJ49" i="12" s="1"/>
  <c r="CJ50" i="12" s="1"/>
  <c r="CJ51" i="12" s="1"/>
  <c r="CJ52" i="12" s="1"/>
  <c r="CJ53" i="12" s="1"/>
  <c r="CJ54" i="12" s="1"/>
  <c r="CJ55" i="12" s="1"/>
  <c r="CJ56" i="12" s="1"/>
  <c r="CJ57" i="12" s="1"/>
  <c r="CJ58" i="12" s="1"/>
  <c r="CJ59" i="12" s="1"/>
  <c r="CJ60" i="12" s="1"/>
  <c r="CJ61" i="12" s="1"/>
  <c r="CJ62" i="12" s="1"/>
  <c r="CI3" i="12"/>
  <c r="CI4" i="12" s="1"/>
  <c r="CI5" i="12" s="1"/>
  <c r="CI6" i="12" s="1"/>
  <c r="CI7" i="12" s="1"/>
  <c r="CI8" i="12" s="1"/>
  <c r="CI9" i="12" s="1"/>
  <c r="CI10" i="12" s="1"/>
  <c r="CI11" i="12" s="1"/>
  <c r="CI12" i="12" s="1"/>
  <c r="CI13" i="12" s="1"/>
  <c r="CI14" i="12" s="1"/>
  <c r="CI15" i="12" s="1"/>
  <c r="CI16" i="12" s="1"/>
  <c r="CI17" i="12" s="1"/>
  <c r="CI18" i="12" s="1"/>
  <c r="CI19" i="12" s="1"/>
  <c r="CI20" i="12" s="1"/>
  <c r="CI21" i="12" s="1"/>
  <c r="CI22" i="12" s="1"/>
  <c r="CI23" i="12" s="1"/>
  <c r="CI24" i="12" s="1"/>
  <c r="CI25" i="12" s="1"/>
  <c r="CI26" i="12" s="1"/>
  <c r="CI27" i="12" s="1"/>
  <c r="CI28" i="12" s="1"/>
  <c r="CI29" i="12" s="1"/>
  <c r="CI30" i="12" s="1"/>
  <c r="CI31" i="12" s="1"/>
  <c r="CI32" i="12" s="1"/>
  <c r="CI33" i="12" s="1"/>
  <c r="CI34" i="12" s="1"/>
  <c r="CI35" i="12" s="1"/>
  <c r="CI36" i="12" s="1"/>
  <c r="CI37" i="12" s="1"/>
  <c r="CI38" i="12" s="1"/>
  <c r="CI39" i="12" s="1"/>
  <c r="CI40" i="12" s="1"/>
  <c r="CI41" i="12" s="1"/>
  <c r="CI42" i="12" s="1"/>
  <c r="CI43" i="12" s="1"/>
  <c r="CI44" i="12" s="1"/>
  <c r="CI45" i="12" s="1"/>
  <c r="CI46" i="12" s="1"/>
  <c r="CI47" i="12" s="1"/>
  <c r="CI48" i="12" s="1"/>
  <c r="CI49" i="12" s="1"/>
  <c r="CI50" i="12" s="1"/>
  <c r="CI51" i="12" s="1"/>
  <c r="CI52" i="12" s="1"/>
  <c r="CI53" i="12" s="1"/>
  <c r="CI54" i="12" s="1"/>
  <c r="CI55" i="12" s="1"/>
  <c r="CI56" i="12" s="1"/>
  <c r="CI57" i="12" s="1"/>
  <c r="CI58" i="12" s="1"/>
  <c r="CI59" i="12" s="1"/>
  <c r="CI60" i="12" s="1"/>
  <c r="CI61" i="12" s="1"/>
  <c r="CI62" i="12" s="1"/>
  <c r="CH3" i="12"/>
  <c r="CH4" i="12" s="1"/>
  <c r="CH5" i="12" s="1"/>
  <c r="CH6" i="12" s="1"/>
  <c r="CH7" i="12" s="1"/>
  <c r="CH8" i="12" s="1"/>
  <c r="CH9" i="12" s="1"/>
  <c r="CH10" i="12" s="1"/>
  <c r="CH11" i="12" s="1"/>
  <c r="CH12" i="12" s="1"/>
  <c r="CH13" i="12" s="1"/>
  <c r="CH14" i="12" s="1"/>
  <c r="CH15" i="12" s="1"/>
  <c r="CH16" i="12" s="1"/>
  <c r="CH17" i="12" s="1"/>
  <c r="CH18" i="12" s="1"/>
  <c r="CH19" i="12" s="1"/>
  <c r="CH20" i="12" s="1"/>
  <c r="CH21" i="12" s="1"/>
  <c r="CH22" i="12" s="1"/>
  <c r="CH23" i="12" s="1"/>
  <c r="CH24" i="12" s="1"/>
  <c r="CH25" i="12" s="1"/>
  <c r="CH26" i="12" s="1"/>
  <c r="CH27" i="12" s="1"/>
  <c r="CH28" i="12" s="1"/>
  <c r="CH29" i="12" s="1"/>
  <c r="CH30" i="12" s="1"/>
  <c r="CH31" i="12" s="1"/>
  <c r="CH32" i="12" s="1"/>
  <c r="CH33" i="12" s="1"/>
  <c r="CH34" i="12" s="1"/>
  <c r="CH35" i="12" s="1"/>
  <c r="CH36" i="12" s="1"/>
  <c r="CH37" i="12" s="1"/>
  <c r="CH38" i="12" s="1"/>
  <c r="CH39" i="12" s="1"/>
  <c r="CH40" i="12" s="1"/>
  <c r="CH41" i="12" s="1"/>
  <c r="CH42" i="12" s="1"/>
  <c r="CH43" i="12" s="1"/>
  <c r="CH44" i="12" s="1"/>
  <c r="CH45" i="12" s="1"/>
  <c r="CH46" i="12" s="1"/>
  <c r="CH47" i="12" s="1"/>
  <c r="CH48" i="12" s="1"/>
  <c r="CH49" i="12" s="1"/>
  <c r="CH50" i="12" s="1"/>
  <c r="CH51" i="12" s="1"/>
  <c r="CH52" i="12" s="1"/>
  <c r="CH53" i="12" s="1"/>
  <c r="CH54" i="12" s="1"/>
  <c r="CH55" i="12" s="1"/>
  <c r="CH56" i="12" s="1"/>
  <c r="CH57" i="12" s="1"/>
  <c r="CH58" i="12" s="1"/>
  <c r="CH59" i="12" s="1"/>
  <c r="CH60" i="12" s="1"/>
  <c r="CH61" i="12" s="1"/>
  <c r="CH62" i="12" s="1"/>
  <c r="CH63" i="12" s="1"/>
  <c r="CG3" i="12"/>
  <c r="CF3" i="12"/>
  <c r="CE3" i="12"/>
  <c r="CE4" i="12" s="1"/>
  <c r="CE5" i="12" s="1"/>
  <c r="CE6" i="12" s="1"/>
  <c r="CE7" i="12" s="1"/>
  <c r="CE8" i="12" s="1"/>
  <c r="CE9" i="12" s="1"/>
  <c r="CE10" i="12" s="1"/>
  <c r="CE11" i="12" s="1"/>
  <c r="CE12" i="12" s="1"/>
  <c r="CE13" i="12" s="1"/>
  <c r="CE14" i="12" s="1"/>
  <c r="CE15" i="12" s="1"/>
  <c r="CE16" i="12" s="1"/>
  <c r="CE17" i="12" s="1"/>
  <c r="CE18" i="12" s="1"/>
  <c r="CE19" i="12" s="1"/>
  <c r="CE20" i="12" s="1"/>
  <c r="CE21" i="12" s="1"/>
  <c r="CE22" i="12" s="1"/>
  <c r="CE23" i="12" s="1"/>
  <c r="CE24" i="12" s="1"/>
  <c r="CE25" i="12" s="1"/>
  <c r="CE26" i="12" s="1"/>
  <c r="CE27" i="12" s="1"/>
  <c r="CE28" i="12" s="1"/>
  <c r="CE29" i="12" s="1"/>
  <c r="CE30" i="12" s="1"/>
  <c r="CE31" i="12" s="1"/>
  <c r="CE32" i="12" s="1"/>
  <c r="CE33" i="12" s="1"/>
  <c r="CE34" i="12" s="1"/>
  <c r="CE35" i="12" s="1"/>
  <c r="CE36" i="12" s="1"/>
  <c r="CE37" i="12" s="1"/>
  <c r="CE38" i="12" s="1"/>
  <c r="CE39" i="12" s="1"/>
  <c r="CE40" i="12" s="1"/>
  <c r="CE41" i="12" s="1"/>
  <c r="CE42" i="12" s="1"/>
  <c r="CE43" i="12" s="1"/>
  <c r="CE44" i="12" s="1"/>
  <c r="CE45" i="12" s="1"/>
  <c r="CE46" i="12" s="1"/>
  <c r="CE47" i="12" s="1"/>
  <c r="CE48" i="12" s="1"/>
  <c r="CE49" i="12" s="1"/>
  <c r="CE50" i="12" s="1"/>
  <c r="CE51" i="12" s="1"/>
  <c r="CE52" i="12" s="1"/>
  <c r="CE53" i="12" s="1"/>
  <c r="CE54" i="12" s="1"/>
  <c r="CE55" i="12" s="1"/>
  <c r="CE56" i="12" s="1"/>
  <c r="CE57" i="12" s="1"/>
  <c r="CE58" i="12" s="1"/>
  <c r="CE59" i="12" s="1"/>
  <c r="CE60" i="12" s="1"/>
  <c r="CE61" i="12" s="1"/>
  <c r="CE62" i="12" s="1"/>
  <c r="CE63" i="12" s="1"/>
  <c r="CC3" i="12"/>
  <c r="CC4" i="12" s="1"/>
  <c r="CC5" i="12" s="1"/>
  <c r="CC6" i="12" s="1"/>
  <c r="CC7" i="12" s="1"/>
  <c r="CC8" i="12" s="1"/>
  <c r="CC9" i="12" s="1"/>
  <c r="CC10" i="12" s="1"/>
  <c r="CC11" i="12" s="1"/>
  <c r="CC12" i="12" s="1"/>
  <c r="CC13" i="12" s="1"/>
  <c r="CC14" i="12" s="1"/>
  <c r="CC15" i="12" s="1"/>
  <c r="CC16" i="12" s="1"/>
  <c r="CC17" i="12" s="1"/>
  <c r="CC18" i="12" s="1"/>
  <c r="CC19" i="12" s="1"/>
  <c r="CC20" i="12" s="1"/>
  <c r="CC21" i="12" s="1"/>
  <c r="CC22" i="12" s="1"/>
  <c r="CC23" i="12" s="1"/>
  <c r="CC24" i="12" s="1"/>
  <c r="CC25" i="12" s="1"/>
  <c r="CC26" i="12" s="1"/>
  <c r="CC27" i="12" s="1"/>
  <c r="CC28" i="12" s="1"/>
  <c r="CC29" i="12" s="1"/>
  <c r="CC30" i="12" s="1"/>
  <c r="CC31" i="12" s="1"/>
  <c r="CC32" i="12" s="1"/>
  <c r="CC33" i="12" s="1"/>
  <c r="CC34" i="12" s="1"/>
  <c r="CC35" i="12" s="1"/>
  <c r="CC36" i="12" s="1"/>
  <c r="CC37" i="12" s="1"/>
  <c r="CC38" i="12" s="1"/>
  <c r="CC39" i="12" s="1"/>
  <c r="CC40" i="12" s="1"/>
  <c r="CC41" i="12" s="1"/>
  <c r="CC42" i="12" s="1"/>
  <c r="CC43" i="12" s="1"/>
  <c r="CC44" i="12" s="1"/>
  <c r="CC45" i="12" s="1"/>
  <c r="CC46" i="12" s="1"/>
  <c r="CC47" i="12" s="1"/>
  <c r="CC48" i="12" s="1"/>
  <c r="CC49" i="12" s="1"/>
  <c r="CC50" i="12" s="1"/>
  <c r="CC51" i="12" s="1"/>
  <c r="CC52" i="12" s="1"/>
  <c r="CC53" i="12" s="1"/>
  <c r="CC54" i="12" s="1"/>
  <c r="CC55" i="12" s="1"/>
  <c r="CC56" i="12" s="1"/>
  <c r="CC57" i="12" s="1"/>
  <c r="CC58" i="12" s="1"/>
  <c r="CC59" i="12" s="1"/>
  <c r="CC60" i="12" s="1"/>
  <c r="CC61" i="12" s="1"/>
  <c r="CC62" i="12" s="1"/>
  <c r="CC63" i="12" s="1"/>
  <c r="CB3" i="12"/>
  <c r="CB4" i="12" s="1"/>
  <c r="CB5" i="12" s="1"/>
  <c r="CB6" i="12" s="1"/>
  <c r="CB7" i="12" s="1"/>
  <c r="CB8" i="12" s="1"/>
  <c r="CB9" i="12" s="1"/>
  <c r="CB10" i="12" s="1"/>
  <c r="CB11" i="12" s="1"/>
  <c r="CB12" i="12" s="1"/>
  <c r="CB13" i="12" s="1"/>
  <c r="CB14" i="12" s="1"/>
  <c r="CB15" i="12" s="1"/>
  <c r="CB16" i="12" s="1"/>
  <c r="CB17" i="12" s="1"/>
  <c r="CB18" i="12" s="1"/>
  <c r="CB19" i="12" s="1"/>
  <c r="CB20" i="12" s="1"/>
  <c r="CB21" i="12" s="1"/>
  <c r="CB22" i="12" s="1"/>
  <c r="CB23" i="12" s="1"/>
  <c r="CB24" i="12" s="1"/>
  <c r="CB25" i="12" s="1"/>
  <c r="CB26" i="12" s="1"/>
  <c r="CB27" i="12" s="1"/>
  <c r="CB28" i="12" s="1"/>
  <c r="CB29" i="12" s="1"/>
  <c r="CB30" i="12" s="1"/>
  <c r="CB31" i="12" s="1"/>
  <c r="CB32" i="12" s="1"/>
  <c r="CB33" i="12" s="1"/>
  <c r="CB34" i="12" s="1"/>
  <c r="CB35" i="12" s="1"/>
  <c r="CB36" i="12" s="1"/>
  <c r="CB37" i="12" s="1"/>
  <c r="CB38" i="12" s="1"/>
  <c r="CB39" i="12" s="1"/>
  <c r="CB40" i="12" s="1"/>
  <c r="CB41" i="12" s="1"/>
  <c r="CB42" i="12" s="1"/>
  <c r="CB43" i="12" s="1"/>
  <c r="CB44" i="12" s="1"/>
  <c r="CB45" i="12" s="1"/>
  <c r="CB46" i="12" s="1"/>
  <c r="CB47" i="12" s="1"/>
  <c r="CB48" i="12" s="1"/>
  <c r="CB49" i="12" s="1"/>
  <c r="CB50" i="12" s="1"/>
  <c r="CB51" i="12" s="1"/>
  <c r="CB52" i="12" s="1"/>
  <c r="CB53" i="12" s="1"/>
  <c r="CB54" i="12" s="1"/>
  <c r="CB55" i="12" s="1"/>
  <c r="CB56" i="12" s="1"/>
  <c r="CB57" i="12" s="1"/>
  <c r="CB58" i="12" s="1"/>
  <c r="CB59" i="12" s="1"/>
  <c r="CB60" i="12" s="1"/>
  <c r="CB61" i="12" s="1"/>
  <c r="CB62" i="12" s="1"/>
  <c r="CB63" i="12" s="1"/>
  <c r="CA3" i="12"/>
  <c r="CA4" i="12" s="1"/>
  <c r="CA5" i="12" s="1"/>
  <c r="CA6" i="12" s="1"/>
  <c r="CA7" i="12" s="1"/>
  <c r="BZ3" i="12"/>
  <c r="BZ4" i="12" s="1"/>
  <c r="BZ5" i="12" s="1"/>
  <c r="BZ6" i="12" s="1"/>
  <c r="BZ7" i="12" s="1"/>
  <c r="BY3" i="12"/>
  <c r="BY4" i="12" s="1"/>
  <c r="BY5" i="12" s="1"/>
  <c r="BY6" i="12" s="1"/>
  <c r="BY7" i="12" s="1"/>
  <c r="BY8" i="12" s="1"/>
  <c r="BY9" i="12" s="1"/>
  <c r="BY10" i="12" s="1"/>
  <c r="BY11" i="12" s="1"/>
  <c r="BY12" i="12" s="1"/>
  <c r="BY13" i="12" s="1"/>
  <c r="BY14" i="12" s="1"/>
  <c r="BY15" i="12" s="1"/>
  <c r="BY16" i="12" s="1"/>
  <c r="BY17" i="12" s="1"/>
  <c r="BY18" i="12" s="1"/>
  <c r="BY19" i="12" s="1"/>
  <c r="BY20" i="12" s="1"/>
  <c r="BY21" i="12" s="1"/>
  <c r="BY22" i="12" s="1"/>
  <c r="BY23" i="12" s="1"/>
  <c r="BY24" i="12" s="1"/>
  <c r="BY25" i="12" s="1"/>
  <c r="BY26" i="12" s="1"/>
  <c r="BY27" i="12" s="1"/>
  <c r="BY28" i="12" s="1"/>
  <c r="BY29" i="12" s="1"/>
  <c r="BY30" i="12" s="1"/>
  <c r="BY31" i="12" s="1"/>
  <c r="BY32" i="12" s="1"/>
  <c r="BY33" i="12" s="1"/>
  <c r="BY34" i="12" s="1"/>
  <c r="BY35" i="12" s="1"/>
  <c r="BY36" i="12" s="1"/>
  <c r="BY37" i="12" s="1"/>
  <c r="BY38" i="12" s="1"/>
  <c r="BY39" i="12" s="1"/>
  <c r="BY40" i="12" s="1"/>
  <c r="BY41" i="12" s="1"/>
  <c r="BY42" i="12" s="1"/>
  <c r="BY43" i="12" s="1"/>
  <c r="BY44" i="12" s="1"/>
  <c r="BY45" i="12" s="1"/>
  <c r="BY46" i="12" s="1"/>
  <c r="BY47" i="12" s="1"/>
  <c r="BY48" i="12" s="1"/>
  <c r="BY49" i="12" s="1"/>
  <c r="BY50" i="12" s="1"/>
  <c r="BY51" i="12" s="1"/>
  <c r="BY52" i="12" s="1"/>
  <c r="BY53" i="12" s="1"/>
  <c r="BY54" i="12" s="1"/>
  <c r="BY55" i="12" s="1"/>
  <c r="BY56" i="12" s="1"/>
  <c r="BY57" i="12" s="1"/>
  <c r="BY58" i="12" s="1"/>
  <c r="BY59" i="12" s="1"/>
  <c r="BY60" i="12" s="1"/>
  <c r="BY61" i="12" s="1"/>
  <c r="BY62" i="12" s="1"/>
  <c r="BY63" i="12" s="1"/>
  <c r="BX3" i="12"/>
  <c r="BX4" i="12" s="1"/>
  <c r="BX5" i="12" s="1"/>
  <c r="BX6" i="12" s="1"/>
  <c r="BX7" i="12" s="1"/>
  <c r="BX8" i="12" s="1"/>
  <c r="BX9" i="12" s="1"/>
  <c r="BX10" i="12" s="1"/>
  <c r="BX11" i="12" s="1"/>
  <c r="BX12" i="12" s="1"/>
  <c r="BX13" i="12" s="1"/>
  <c r="BX14" i="12" s="1"/>
  <c r="BX15" i="12" s="1"/>
  <c r="BX16" i="12" s="1"/>
  <c r="BX17" i="12" s="1"/>
  <c r="BX18" i="12" s="1"/>
  <c r="BX19" i="12" s="1"/>
  <c r="BX20" i="12" s="1"/>
  <c r="BX21" i="12" s="1"/>
  <c r="BX22" i="12" s="1"/>
  <c r="BX23" i="12" s="1"/>
  <c r="BX24" i="12" s="1"/>
  <c r="BX25" i="12" s="1"/>
  <c r="BX26" i="12" s="1"/>
  <c r="BX27" i="12" s="1"/>
  <c r="BX28" i="12" s="1"/>
  <c r="BX29" i="12" s="1"/>
  <c r="BX30" i="12" s="1"/>
  <c r="BX31" i="12" s="1"/>
  <c r="BX32" i="12" s="1"/>
  <c r="BX33" i="12" s="1"/>
  <c r="BX34" i="12" s="1"/>
  <c r="BX35" i="12" s="1"/>
  <c r="BX36" i="12" s="1"/>
  <c r="BX37" i="12" s="1"/>
  <c r="BX38" i="12" s="1"/>
  <c r="BX39" i="12" s="1"/>
  <c r="BX40" i="12" s="1"/>
  <c r="BX41" i="12" s="1"/>
  <c r="BX42" i="12" s="1"/>
  <c r="BX43" i="12" s="1"/>
  <c r="BX44" i="12" s="1"/>
  <c r="BX45" i="12" s="1"/>
  <c r="BX46" i="12" s="1"/>
  <c r="BX47" i="12" s="1"/>
  <c r="BX48" i="12" s="1"/>
  <c r="BX49" i="12" s="1"/>
  <c r="BX50" i="12" s="1"/>
  <c r="BX51" i="12" s="1"/>
  <c r="BX52" i="12" s="1"/>
  <c r="BX53" i="12" s="1"/>
  <c r="BX54" i="12" s="1"/>
  <c r="BX55" i="12" s="1"/>
  <c r="BX56" i="12" s="1"/>
  <c r="BX57" i="12" s="1"/>
  <c r="BX58" i="12" s="1"/>
  <c r="BX59" i="12" s="1"/>
  <c r="BX60" i="12" s="1"/>
  <c r="BX61" i="12" s="1"/>
  <c r="BX62" i="12" s="1"/>
  <c r="BX63" i="12" s="1"/>
  <c r="BW3" i="12"/>
  <c r="BW4" i="12" s="1"/>
  <c r="BW5" i="12" s="1"/>
  <c r="BW6" i="12" s="1"/>
  <c r="BW7" i="12" s="1"/>
  <c r="BW8" i="12" s="1"/>
  <c r="BW9" i="12" s="1"/>
  <c r="BW10" i="12" s="1"/>
  <c r="BW11" i="12" s="1"/>
  <c r="BW12" i="12" s="1"/>
  <c r="BW13" i="12" s="1"/>
  <c r="BW14" i="12" s="1"/>
  <c r="BW15" i="12" s="1"/>
  <c r="BW16" i="12" s="1"/>
  <c r="BW17" i="12" s="1"/>
  <c r="BW18" i="12" s="1"/>
  <c r="BW19" i="12" s="1"/>
  <c r="BW20" i="12" s="1"/>
  <c r="BW21" i="12" s="1"/>
  <c r="BW22" i="12" s="1"/>
  <c r="BW23" i="12" s="1"/>
  <c r="BW24" i="12" s="1"/>
  <c r="BW25" i="12" s="1"/>
  <c r="BW26" i="12" s="1"/>
  <c r="BW27" i="12" s="1"/>
  <c r="BW28" i="12" s="1"/>
  <c r="BW29" i="12" s="1"/>
  <c r="BW30" i="12" s="1"/>
  <c r="BW31" i="12" s="1"/>
  <c r="BW32" i="12" s="1"/>
  <c r="BW33" i="12" s="1"/>
  <c r="BW34" i="12" s="1"/>
  <c r="BW35" i="12" s="1"/>
  <c r="BW36" i="12" s="1"/>
  <c r="BW37" i="12" s="1"/>
  <c r="BW38" i="12" s="1"/>
  <c r="BW39" i="12" s="1"/>
  <c r="BW40" i="12" s="1"/>
  <c r="BW41" i="12" s="1"/>
  <c r="BW42" i="12" s="1"/>
  <c r="BW43" i="12" s="1"/>
  <c r="BW44" i="12" s="1"/>
  <c r="BW45" i="12" s="1"/>
  <c r="BW46" i="12" s="1"/>
  <c r="BW47" i="12" s="1"/>
  <c r="BW48" i="12" s="1"/>
  <c r="BW49" i="12" s="1"/>
  <c r="BW50" i="12" s="1"/>
  <c r="BW51" i="12" s="1"/>
  <c r="BW52" i="12" s="1"/>
  <c r="BW53" i="12" s="1"/>
  <c r="BW54" i="12" s="1"/>
  <c r="BW55" i="12" s="1"/>
  <c r="BW56" i="12" s="1"/>
  <c r="BW57" i="12" s="1"/>
  <c r="BW58" i="12" s="1"/>
  <c r="BW59" i="12" s="1"/>
  <c r="BW60" i="12" s="1"/>
  <c r="BW61" i="12" s="1"/>
  <c r="BW62" i="12" s="1"/>
  <c r="BW63" i="12" s="1"/>
  <c r="BV3" i="12"/>
  <c r="BV4" i="12" s="1"/>
  <c r="BV5" i="12" s="1"/>
  <c r="BV6" i="12" s="1"/>
  <c r="BV7" i="12" s="1"/>
  <c r="BV8" i="12" s="1"/>
  <c r="BV9" i="12" s="1"/>
  <c r="BV10" i="12" s="1"/>
  <c r="BV11" i="12" s="1"/>
  <c r="BV12" i="12" s="1"/>
  <c r="BV13" i="12" s="1"/>
  <c r="BV14" i="12" s="1"/>
  <c r="BV15" i="12" s="1"/>
  <c r="BV16" i="12" s="1"/>
  <c r="BV17" i="12" s="1"/>
  <c r="BV18" i="12" s="1"/>
  <c r="BV19" i="12" s="1"/>
  <c r="BV20" i="12" s="1"/>
  <c r="BV21" i="12" s="1"/>
  <c r="BV22" i="12" s="1"/>
  <c r="BV23" i="12" s="1"/>
  <c r="BV24" i="12" s="1"/>
  <c r="BV25" i="12" s="1"/>
  <c r="BV26" i="12" s="1"/>
  <c r="BV27" i="12" s="1"/>
  <c r="BV28" i="12" s="1"/>
  <c r="BV29" i="12" s="1"/>
  <c r="BV30" i="12" s="1"/>
  <c r="BV31" i="12" s="1"/>
  <c r="BV32" i="12" s="1"/>
  <c r="BV33" i="12" s="1"/>
  <c r="BV34" i="12" s="1"/>
  <c r="BV35" i="12" s="1"/>
  <c r="BV36" i="12" s="1"/>
  <c r="BV37" i="12" s="1"/>
  <c r="BV38" i="12" s="1"/>
  <c r="BV39" i="12" s="1"/>
  <c r="BV40" i="12" s="1"/>
  <c r="BV41" i="12" s="1"/>
  <c r="BV42" i="12" s="1"/>
  <c r="BV43" i="12" s="1"/>
  <c r="BV44" i="12" s="1"/>
  <c r="BV45" i="12" s="1"/>
  <c r="BV46" i="12" s="1"/>
  <c r="BV47" i="12" s="1"/>
  <c r="BV48" i="12" s="1"/>
  <c r="BV49" i="12" s="1"/>
  <c r="BV50" i="12" s="1"/>
  <c r="BV51" i="12" s="1"/>
  <c r="BV52" i="12" s="1"/>
  <c r="BV53" i="12" s="1"/>
  <c r="BV54" i="12" s="1"/>
  <c r="BV55" i="12" s="1"/>
  <c r="BV56" i="12" s="1"/>
  <c r="BV57" i="12" s="1"/>
  <c r="BV58" i="12" s="1"/>
  <c r="BV59" i="12" s="1"/>
  <c r="BV60" i="12" s="1"/>
  <c r="BV61" i="12" s="1"/>
  <c r="BV62" i="12" s="1"/>
  <c r="BV63" i="12" s="1"/>
  <c r="BU3" i="12"/>
  <c r="BT3" i="12"/>
  <c r="BT4" i="12" s="1"/>
  <c r="BR3" i="12"/>
  <c r="BR4" i="12" s="1"/>
  <c r="BR5" i="12" s="1"/>
  <c r="BR6" i="12" s="1"/>
  <c r="BR7" i="12" s="1"/>
  <c r="BR8" i="12" s="1"/>
  <c r="BR9" i="12" s="1"/>
  <c r="BR10" i="12" s="1"/>
  <c r="BR11" i="12" s="1"/>
  <c r="BR12" i="12" s="1"/>
  <c r="BR13" i="12" s="1"/>
  <c r="BR14" i="12" s="1"/>
  <c r="BR15" i="12" s="1"/>
  <c r="BR16" i="12" s="1"/>
  <c r="BR17" i="12" s="1"/>
  <c r="BR18" i="12" s="1"/>
  <c r="BR19" i="12" s="1"/>
  <c r="BR20" i="12" s="1"/>
  <c r="BR21" i="12" s="1"/>
  <c r="BR22" i="12" s="1"/>
  <c r="BR23" i="12" s="1"/>
  <c r="BR24" i="12" s="1"/>
  <c r="BR25" i="12" s="1"/>
  <c r="BR26" i="12" s="1"/>
  <c r="BR27" i="12" s="1"/>
  <c r="BR28" i="12" s="1"/>
  <c r="BR29" i="12" s="1"/>
  <c r="BR30" i="12" s="1"/>
  <c r="BR31" i="12" s="1"/>
  <c r="BR32" i="12" s="1"/>
  <c r="BR33" i="12" s="1"/>
  <c r="BR34" i="12" s="1"/>
  <c r="BR35" i="12" s="1"/>
  <c r="BR36" i="12" s="1"/>
  <c r="BR37" i="12" s="1"/>
  <c r="BR38" i="12" s="1"/>
  <c r="BR39" i="12" s="1"/>
  <c r="BR40" i="12" s="1"/>
  <c r="BR41" i="12" s="1"/>
  <c r="BR42" i="12" s="1"/>
  <c r="BR43" i="12" s="1"/>
  <c r="BR44" i="12" s="1"/>
  <c r="BR45" i="12" s="1"/>
  <c r="BR46" i="12" s="1"/>
  <c r="BR47" i="12" s="1"/>
  <c r="BR48" i="12" s="1"/>
  <c r="BR49" i="12" s="1"/>
  <c r="BR50" i="12" s="1"/>
  <c r="BR51" i="12" s="1"/>
  <c r="BR52" i="12" s="1"/>
  <c r="BR53" i="12" s="1"/>
  <c r="BR54" i="12" s="1"/>
  <c r="BR55" i="12" s="1"/>
  <c r="BR56" i="12" s="1"/>
  <c r="BR57" i="12" s="1"/>
  <c r="BR58" i="12" s="1"/>
  <c r="BR59" i="12" s="1"/>
  <c r="BR60" i="12" s="1"/>
  <c r="BR61" i="12" s="1"/>
  <c r="BR62" i="12" s="1"/>
  <c r="BR63" i="12" s="1"/>
  <c r="BQ3" i="12"/>
  <c r="BP3" i="12"/>
  <c r="BO3" i="12"/>
  <c r="BN3" i="12"/>
  <c r="BN4" i="12" s="1"/>
  <c r="BN5" i="12" s="1"/>
  <c r="BN6" i="12" s="1"/>
  <c r="BN7" i="12" s="1"/>
  <c r="BN8" i="12" s="1"/>
  <c r="BN9" i="12" s="1"/>
  <c r="BN10" i="12" s="1"/>
  <c r="BN11" i="12" s="1"/>
  <c r="BN12" i="12" s="1"/>
  <c r="BN13" i="12" s="1"/>
  <c r="BN14" i="12" s="1"/>
  <c r="BN15" i="12" s="1"/>
  <c r="BN16" i="12" s="1"/>
  <c r="BN17" i="12" s="1"/>
  <c r="BN18" i="12" s="1"/>
  <c r="BN19" i="12" s="1"/>
  <c r="BN20" i="12" s="1"/>
  <c r="BN21" i="12" s="1"/>
  <c r="BN22" i="12" s="1"/>
  <c r="BN23" i="12" s="1"/>
  <c r="BN24" i="12" s="1"/>
  <c r="BN25" i="12" s="1"/>
  <c r="BN26" i="12" s="1"/>
  <c r="BN27" i="12" s="1"/>
  <c r="BN28" i="12" s="1"/>
  <c r="BN29" i="12" s="1"/>
  <c r="BN30" i="12" s="1"/>
  <c r="BN31" i="12" s="1"/>
  <c r="BN32" i="12" s="1"/>
  <c r="BN33" i="12" s="1"/>
  <c r="BN34" i="12" s="1"/>
  <c r="BN35" i="12" s="1"/>
  <c r="BN36" i="12" s="1"/>
  <c r="BN37" i="12" s="1"/>
  <c r="BN38" i="12" s="1"/>
  <c r="BN39" i="12" s="1"/>
  <c r="BN40" i="12" s="1"/>
  <c r="BN41" i="12" s="1"/>
  <c r="BN42" i="12" s="1"/>
  <c r="BN43" i="12" s="1"/>
  <c r="BN44" i="12" s="1"/>
  <c r="BN45" i="12" s="1"/>
  <c r="BN46" i="12" s="1"/>
  <c r="BN47" i="12" s="1"/>
  <c r="BN48" i="12" s="1"/>
  <c r="BN49" i="12" s="1"/>
  <c r="BN50" i="12" s="1"/>
  <c r="BN51" i="12" s="1"/>
  <c r="BN52" i="12" s="1"/>
  <c r="BN53" i="12" s="1"/>
  <c r="BN54" i="12" s="1"/>
  <c r="BN55" i="12" s="1"/>
  <c r="BN56" i="12" s="1"/>
  <c r="BN57" i="12" s="1"/>
  <c r="BN58" i="12" s="1"/>
  <c r="BN59" i="12" s="1"/>
  <c r="BN60" i="12" s="1"/>
  <c r="BN61" i="12" s="1"/>
  <c r="BN62" i="12" s="1"/>
  <c r="BM3" i="12"/>
  <c r="BM4" i="12" s="1"/>
  <c r="BM5" i="12" s="1"/>
  <c r="BM6" i="12" s="1"/>
  <c r="BM7" i="12" s="1"/>
  <c r="BM8" i="12" s="1"/>
  <c r="BM9" i="12" s="1"/>
  <c r="BM10" i="12" s="1"/>
  <c r="BM11" i="12" s="1"/>
  <c r="BM12" i="12" s="1"/>
  <c r="BM13" i="12" s="1"/>
  <c r="BM14" i="12" s="1"/>
  <c r="BM15" i="12" s="1"/>
  <c r="BM16" i="12" s="1"/>
  <c r="BM17" i="12" s="1"/>
  <c r="BM18" i="12" s="1"/>
  <c r="BM19" i="12" s="1"/>
  <c r="BM20" i="12" s="1"/>
  <c r="BM21" i="12" s="1"/>
  <c r="BM22" i="12" s="1"/>
  <c r="BM23" i="12" s="1"/>
  <c r="BM24" i="12" s="1"/>
  <c r="BM25" i="12" s="1"/>
  <c r="BM26" i="12" s="1"/>
  <c r="BM27" i="12" s="1"/>
  <c r="BM28" i="12" s="1"/>
  <c r="BM29" i="12" s="1"/>
  <c r="BM30" i="12" s="1"/>
  <c r="BM31" i="12" s="1"/>
  <c r="BM32" i="12" s="1"/>
  <c r="BM33" i="12" s="1"/>
  <c r="BM34" i="12" s="1"/>
  <c r="BM35" i="12" s="1"/>
  <c r="BM36" i="12" s="1"/>
  <c r="BM37" i="12" s="1"/>
  <c r="BM38" i="12" s="1"/>
  <c r="BM39" i="12" s="1"/>
  <c r="BM40" i="12" s="1"/>
  <c r="BM41" i="12" s="1"/>
  <c r="BM42" i="12" s="1"/>
  <c r="BM43" i="12" s="1"/>
  <c r="BM44" i="12" s="1"/>
  <c r="BM45" i="12" s="1"/>
  <c r="BM46" i="12" s="1"/>
  <c r="BM47" i="12" s="1"/>
  <c r="BM48" i="12" s="1"/>
  <c r="BM49" i="12" s="1"/>
  <c r="BM50" i="12" s="1"/>
  <c r="BM51" i="12" s="1"/>
  <c r="BM52" i="12" s="1"/>
  <c r="BM53" i="12" s="1"/>
  <c r="BM54" i="12" s="1"/>
  <c r="BM55" i="12" s="1"/>
  <c r="BM56" i="12" s="1"/>
  <c r="BM57" i="12" s="1"/>
  <c r="BM58" i="12" s="1"/>
  <c r="BM59" i="12" s="1"/>
  <c r="BM60" i="12" s="1"/>
  <c r="BM61" i="12" s="1"/>
  <c r="BM62" i="12" s="1"/>
  <c r="BL3" i="12"/>
  <c r="BL4" i="12" s="1"/>
  <c r="BL5" i="12" s="1"/>
  <c r="BL6" i="12" s="1"/>
  <c r="BL7" i="12" s="1"/>
  <c r="BL8" i="12" s="1"/>
  <c r="BL9" i="12" s="1"/>
  <c r="BL10" i="12" s="1"/>
  <c r="BL11" i="12" s="1"/>
  <c r="BL12" i="12" s="1"/>
  <c r="BL13" i="12" s="1"/>
  <c r="BL14" i="12" s="1"/>
  <c r="BL15" i="12" s="1"/>
  <c r="BL16" i="12" s="1"/>
  <c r="BL17" i="12" s="1"/>
  <c r="BL18" i="12" s="1"/>
  <c r="BL19" i="12" s="1"/>
  <c r="BL20" i="12" s="1"/>
  <c r="BL21" i="12" s="1"/>
  <c r="BL22" i="12" s="1"/>
  <c r="BL23" i="12" s="1"/>
  <c r="BL24" i="12" s="1"/>
  <c r="BL25" i="12" s="1"/>
  <c r="BL26" i="12" s="1"/>
  <c r="BL27" i="12" s="1"/>
  <c r="BL28" i="12" s="1"/>
  <c r="BL29" i="12" s="1"/>
  <c r="BL30" i="12" s="1"/>
  <c r="BL31" i="12" s="1"/>
  <c r="BL32" i="12" s="1"/>
  <c r="BL33" i="12" s="1"/>
  <c r="BL34" i="12" s="1"/>
  <c r="BL35" i="12" s="1"/>
  <c r="BL36" i="12" s="1"/>
  <c r="BL37" i="12" s="1"/>
  <c r="BL38" i="12" s="1"/>
  <c r="BL39" i="12" s="1"/>
  <c r="BL40" i="12" s="1"/>
  <c r="BL41" i="12" s="1"/>
  <c r="BL42" i="12" s="1"/>
  <c r="BL43" i="12" s="1"/>
  <c r="BL44" i="12" s="1"/>
  <c r="BL45" i="12" s="1"/>
  <c r="BL46" i="12" s="1"/>
  <c r="BL47" i="12" s="1"/>
  <c r="BL48" i="12" s="1"/>
  <c r="BL49" i="12" s="1"/>
  <c r="BL50" i="12" s="1"/>
  <c r="BL51" i="12" s="1"/>
  <c r="BL52" i="12" s="1"/>
  <c r="BL53" i="12" s="1"/>
  <c r="BL54" i="12" s="1"/>
  <c r="BL55" i="12" s="1"/>
  <c r="BL56" i="12" s="1"/>
  <c r="BL57" i="12" s="1"/>
  <c r="BL58" i="12" s="1"/>
  <c r="BL59" i="12" s="1"/>
  <c r="BL60" i="12" s="1"/>
  <c r="BL61" i="12" s="1"/>
  <c r="BL62" i="12" s="1"/>
  <c r="BL63" i="12" s="1"/>
  <c r="BK3" i="12"/>
  <c r="BK4" i="12" s="1"/>
  <c r="BK5" i="12" s="1"/>
  <c r="BK6" i="12" s="1"/>
  <c r="BK7" i="12" s="1"/>
  <c r="BK8" i="12" s="1"/>
  <c r="BK9" i="12" s="1"/>
  <c r="BK10" i="12" s="1"/>
  <c r="BK11" i="12" s="1"/>
  <c r="BK12" i="12" s="1"/>
  <c r="BK13" i="12" s="1"/>
  <c r="BK14" i="12" s="1"/>
  <c r="BK15" i="12" s="1"/>
  <c r="BK16" i="12" s="1"/>
  <c r="BK17" i="12" s="1"/>
  <c r="BK18" i="12" s="1"/>
  <c r="BK19" i="12" s="1"/>
  <c r="BK20" i="12" s="1"/>
  <c r="BK21" i="12" s="1"/>
  <c r="BK22" i="12" s="1"/>
  <c r="BK23" i="12" s="1"/>
  <c r="BK24" i="12" s="1"/>
  <c r="BK25" i="12" s="1"/>
  <c r="BK26" i="12" s="1"/>
  <c r="BK27" i="12" s="1"/>
  <c r="BK28" i="12" s="1"/>
  <c r="BK29" i="12" s="1"/>
  <c r="BK30" i="12" s="1"/>
  <c r="BK31" i="12" s="1"/>
  <c r="BK32" i="12" s="1"/>
  <c r="BK33" i="12" s="1"/>
  <c r="BK34" i="12" s="1"/>
  <c r="BK35" i="12" s="1"/>
  <c r="BK36" i="12" s="1"/>
  <c r="BK37" i="12" s="1"/>
  <c r="BK38" i="12" s="1"/>
  <c r="BK39" i="12" s="1"/>
  <c r="BK40" i="12" s="1"/>
  <c r="BK41" i="12" s="1"/>
  <c r="BK42" i="12" s="1"/>
  <c r="BK43" i="12" s="1"/>
  <c r="BK44" i="12" s="1"/>
  <c r="BK45" i="12" s="1"/>
  <c r="BK46" i="12" s="1"/>
  <c r="BK47" i="12" s="1"/>
  <c r="BK48" i="12" s="1"/>
  <c r="BK49" i="12" s="1"/>
  <c r="BK50" i="12" s="1"/>
  <c r="BK51" i="12" s="1"/>
  <c r="BK52" i="12" s="1"/>
  <c r="BK53" i="12" s="1"/>
  <c r="BK54" i="12" s="1"/>
  <c r="BK55" i="12" s="1"/>
  <c r="BK56" i="12" s="1"/>
  <c r="BK57" i="12" s="1"/>
  <c r="BK58" i="12" s="1"/>
  <c r="BK59" i="12" s="1"/>
  <c r="BK60" i="12" s="1"/>
  <c r="BK61" i="12" s="1"/>
  <c r="BK62" i="12" s="1"/>
  <c r="BK63" i="12" s="1"/>
  <c r="BJ3" i="12"/>
  <c r="BJ4" i="12" s="1"/>
  <c r="BJ5" i="12" s="1"/>
  <c r="BJ6" i="12" s="1"/>
  <c r="BJ7" i="12" s="1"/>
  <c r="BJ8" i="12" s="1"/>
  <c r="BJ9" i="12" s="1"/>
  <c r="BJ10" i="12" s="1"/>
  <c r="BJ11" i="12" s="1"/>
  <c r="BJ12" i="12" s="1"/>
  <c r="BJ13" i="12" s="1"/>
  <c r="BJ14" i="12" s="1"/>
  <c r="BJ15" i="12" s="1"/>
  <c r="BJ16" i="12" s="1"/>
  <c r="BJ17" i="12" s="1"/>
  <c r="BJ18" i="12" s="1"/>
  <c r="BJ19" i="12" s="1"/>
  <c r="BJ20" i="12" s="1"/>
  <c r="BJ21" i="12" s="1"/>
  <c r="BJ22" i="12" s="1"/>
  <c r="BJ23" i="12" s="1"/>
  <c r="BJ24" i="12" s="1"/>
  <c r="BJ25" i="12" s="1"/>
  <c r="BJ26" i="12" s="1"/>
  <c r="BJ27" i="12" s="1"/>
  <c r="BJ28" i="12" s="1"/>
  <c r="BJ29" i="12" s="1"/>
  <c r="BJ30" i="12" s="1"/>
  <c r="BJ31" i="12" s="1"/>
  <c r="BJ32" i="12" s="1"/>
  <c r="BJ33" i="12" s="1"/>
  <c r="BJ34" i="12" s="1"/>
  <c r="BJ35" i="12" s="1"/>
  <c r="BJ36" i="12" s="1"/>
  <c r="BJ37" i="12" s="1"/>
  <c r="BJ38" i="12" s="1"/>
  <c r="BJ39" i="12" s="1"/>
  <c r="BJ40" i="12" s="1"/>
  <c r="BJ41" i="12" s="1"/>
  <c r="BJ42" i="12" s="1"/>
  <c r="BJ43" i="12" s="1"/>
  <c r="BJ44" i="12" s="1"/>
  <c r="BJ45" i="12" s="1"/>
  <c r="BJ46" i="12" s="1"/>
  <c r="BJ47" i="12" s="1"/>
  <c r="BJ48" i="12" s="1"/>
  <c r="BJ49" i="12" s="1"/>
  <c r="BJ50" i="12" s="1"/>
  <c r="BJ51" i="12" s="1"/>
  <c r="BJ52" i="12" s="1"/>
  <c r="BJ53" i="12" s="1"/>
  <c r="BJ54" i="12" s="1"/>
  <c r="BJ55" i="12" s="1"/>
  <c r="BJ56" i="12" s="1"/>
  <c r="BJ57" i="12" s="1"/>
  <c r="BJ58" i="12" s="1"/>
  <c r="BJ59" i="12" s="1"/>
  <c r="BJ60" i="12" s="1"/>
  <c r="BJ61" i="12" s="1"/>
  <c r="BJ62" i="12" s="1"/>
  <c r="BJ63" i="12" s="1"/>
  <c r="BI3" i="12"/>
  <c r="BI4" i="12" s="1"/>
  <c r="BI5" i="12" s="1"/>
  <c r="BI6" i="12" s="1"/>
  <c r="BI7" i="12" s="1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W14" i="8"/>
  <c r="V14" i="8"/>
  <c r="U14" i="8"/>
  <c r="T14" i="8"/>
  <c r="S14" i="8"/>
  <c r="R14" i="8"/>
  <c r="Q14" i="8"/>
  <c r="P14" i="8"/>
  <c r="W13" i="8"/>
  <c r="V13" i="8"/>
  <c r="U13" i="8"/>
  <c r="T13" i="8"/>
  <c r="S13" i="8"/>
  <c r="R13" i="8"/>
  <c r="Q13" i="8"/>
  <c r="P13" i="8"/>
  <c r="W12" i="8"/>
  <c r="V12" i="8"/>
  <c r="U12" i="8"/>
  <c r="T12" i="8"/>
  <c r="S12" i="8"/>
  <c r="R12" i="8"/>
  <c r="Q12" i="8"/>
  <c r="P12" i="8"/>
  <c r="W11" i="8"/>
  <c r="V11" i="8"/>
  <c r="U11" i="8"/>
  <c r="T11" i="8"/>
  <c r="S11" i="8"/>
  <c r="R11" i="8"/>
  <c r="Q11" i="8"/>
  <c r="P11" i="8"/>
  <c r="W10" i="8"/>
  <c r="V10" i="8"/>
  <c r="U10" i="8"/>
  <c r="T10" i="8"/>
  <c r="S10" i="8"/>
  <c r="R10" i="8"/>
  <c r="Q10" i="8"/>
  <c r="P10" i="8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P15" i="8" s="1"/>
  <c r="W7" i="8"/>
  <c r="V7" i="8"/>
  <c r="U7" i="8"/>
  <c r="T7" i="8"/>
  <c r="S7" i="8"/>
  <c r="R7" i="8"/>
  <c r="Q7" i="8"/>
  <c r="P7" i="8"/>
  <c r="W6" i="8"/>
  <c r="V6" i="8"/>
  <c r="U6" i="8"/>
  <c r="T6" i="8"/>
  <c r="S6" i="8"/>
  <c r="R6" i="8"/>
  <c r="Q6" i="8"/>
  <c r="P6" i="8"/>
  <c r="W5" i="8"/>
  <c r="V5" i="8"/>
  <c r="U5" i="8"/>
  <c r="T5" i="8"/>
  <c r="S5" i="8"/>
  <c r="R5" i="8"/>
  <c r="Q5" i="8"/>
  <c r="P5" i="8"/>
  <c r="W4" i="8"/>
  <c r="W8" i="8" s="1"/>
  <c r="W16" i="8" s="1"/>
  <c r="V4" i="8"/>
  <c r="V8" i="8" s="1"/>
  <c r="V16" i="8" s="1"/>
  <c r="U4" i="8"/>
  <c r="U8" i="8" s="1"/>
  <c r="U16" i="8" s="1"/>
  <c r="T4" i="8"/>
  <c r="T8" i="8" s="1"/>
  <c r="T16" i="8" s="1"/>
  <c r="S4" i="8"/>
  <c r="S8" i="8" s="1"/>
  <c r="S16" i="8" s="1"/>
  <c r="R4" i="8"/>
  <c r="R8" i="8" s="1"/>
  <c r="R16" i="8" s="1"/>
  <c r="Q4" i="8"/>
  <c r="Q8" i="8" s="1"/>
  <c r="Q16" i="8" s="1"/>
  <c r="P4" i="8"/>
  <c r="P8" i="8" s="1"/>
  <c r="P16" i="8" s="1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U2" i="7" s="1"/>
  <c r="T7" i="7"/>
  <c r="T2" i="7" s="1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S2" i="7"/>
  <c r="R2" i="7"/>
  <c r="Q2" i="7"/>
  <c r="P2" i="7"/>
  <c r="O2" i="7"/>
  <c r="N2" i="7"/>
  <c r="M2" i="7"/>
  <c r="L2" i="7"/>
  <c r="G2" i="7"/>
  <c r="F2" i="7"/>
  <c r="E2" i="7"/>
  <c r="D2" i="7"/>
  <c r="C2" i="7"/>
  <c r="B2" i="7"/>
  <c r="G40" i="6"/>
  <c r="F40" i="6"/>
  <c r="F39" i="6"/>
  <c r="G39" i="6" s="1"/>
  <c r="F38" i="6"/>
  <c r="G38" i="6" s="1"/>
  <c r="F37" i="6"/>
  <c r="G37" i="6" s="1"/>
  <c r="G36" i="6"/>
  <c r="F36" i="6"/>
  <c r="F35" i="6"/>
  <c r="G35" i="6" s="1"/>
  <c r="G34" i="6"/>
  <c r="F34" i="6"/>
  <c r="F33" i="6"/>
  <c r="G33" i="6" s="1"/>
  <c r="G32" i="6"/>
  <c r="F32" i="6"/>
  <c r="F31" i="6"/>
  <c r="G31" i="6" s="1"/>
  <c r="F30" i="6"/>
  <c r="G30" i="6" s="1"/>
  <c r="F29" i="6"/>
  <c r="G29" i="6" s="1"/>
  <c r="G28" i="6"/>
  <c r="F28" i="6"/>
  <c r="F27" i="6"/>
  <c r="G27" i="6" s="1"/>
  <c r="G26" i="6"/>
  <c r="F26" i="6"/>
  <c r="F25" i="6"/>
  <c r="G25" i="6" s="1"/>
  <c r="G24" i="6"/>
  <c r="F24" i="6"/>
  <c r="F23" i="6"/>
  <c r="G23" i="6" s="1"/>
  <c r="F22" i="6"/>
  <c r="G22" i="6" s="1"/>
  <c r="F21" i="6"/>
  <c r="G21" i="6" s="1"/>
  <c r="G20" i="6"/>
  <c r="F20" i="6"/>
  <c r="F19" i="6"/>
  <c r="G19" i="6" s="1"/>
  <c r="G18" i="6"/>
  <c r="F18" i="6"/>
  <c r="F17" i="6"/>
  <c r="G17" i="6" s="1"/>
  <c r="G16" i="6"/>
  <c r="F16" i="6"/>
  <c r="F15" i="6"/>
  <c r="G15" i="6" s="1"/>
  <c r="F14" i="6"/>
  <c r="G14" i="6" s="1"/>
  <c r="F13" i="6"/>
  <c r="G13" i="6" s="1"/>
  <c r="G12" i="6"/>
  <c r="F12" i="6"/>
  <c r="F11" i="6"/>
  <c r="G11" i="6" s="1"/>
  <c r="G10" i="6"/>
  <c r="F10" i="6"/>
  <c r="F9" i="6"/>
  <c r="G9" i="6" s="1"/>
  <c r="G8" i="6"/>
  <c r="F8" i="6"/>
  <c r="F7" i="6"/>
  <c r="G7" i="6" s="1"/>
  <c r="F6" i="6"/>
  <c r="G6" i="6" s="1"/>
  <c r="F5" i="6"/>
  <c r="G5" i="6" s="1"/>
  <c r="G4" i="6"/>
  <c r="F4" i="6"/>
  <c r="F3" i="6"/>
  <c r="G3" i="6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D30" i="5"/>
  <c r="H29" i="5"/>
  <c r="I29" i="5" s="1"/>
  <c r="H28" i="5"/>
  <c r="I28" i="5" s="1"/>
  <c r="I27" i="5"/>
  <c r="H27" i="5"/>
  <c r="H26" i="5"/>
  <c r="I26" i="5" s="1"/>
  <c r="I25" i="5"/>
  <c r="H25" i="5"/>
  <c r="H24" i="5"/>
  <c r="I24" i="5" s="1"/>
  <c r="I23" i="5"/>
  <c r="H23" i="5"/>
  <c r="H22" i="5"/>
  <c r="I22" i="5" s="1"/>
  <c r="H21" i="5"/>
  <c r="I21" i="5" s="1"/>
  <c r="H20" i="5"/>
  <c r="I20" i="5" s="1"/>
  <c r="I19" i="5"/>
  <c r="H19" i="5"/>
  <c r="H18" i="5"/>
  <c r="I18" i="5" s="1"/>
  <c r="I17" i="5"/>
  <c r="H17" i="5"/>
  <c r="I16" i="5"/>
  <c r="H16" i="5"/>
  <c r="I15" i="5"/>
  <c r="H15" i="5"/>
  <c r="H14" i="5"/>
  <c r="I14" i="5" s="1"/>
  <c r="H13" i="5"/>
  <c r="I13" i="5" s="1"/>
  <c r="H12" i="5"/>
  <c r="I12" i="5" s="1"/>
  <c r="I11" i="5"/>
  <c r="H11" i="5"/>
  <c r="H10" i="5"/>
  <c r="I10" i="5" s="1"/>
  <c r="I9" i="5"/>
  <c r="H9" i="5"/>
  <c r="I8" i="5"/>
  <c r="H8" i="5"/>
  <c r="I7" i="5"/>
  <c r="H7" i="5"/>
  <c r="H6" i="5"/>
  <c r="I6" i="5" s="1"/>
  <c r="H5" i="5"/>
  <c r="I5" i="5" s="1"/>
  <c r="H4" i="5"/>
  <c r="I4" i="5" s="1"/>
  <c r="I3" i="5"/>
  <c r="H3" i="5"/>
  <c r="J13" i="4"/>
  <c r="J12" i="4"/>
  <c r="J14" i="4" s="1"/>
  <c r="J11" i="4"/>
  <c r="J10" i="4"/>
  <c r="J8" i="4"/>
  <c r="J7" i="4"/>
  <c r="J9" i="4" s="1"/>
  <c r="J15" i="4" s="1"/>
  <c r="J6" i="4"/>
  <c r="J5" i="4"/>
  <c r="J4" i="4"/>
  <c r="J3" i="4"/>
  <c r="K23" i="2"/>
  <c r="I23" i="2"/>
  <c r="H23" i="2"/>
  <c r="K22" i="2"/>
  <c r="I22" i="2"/>
  <c r="H22" i="2"/>
  <c r="K17" i="2"/>
  <c r="I17" i="2"/>
  <c r="H17" i="2"/>
  <c r="K16" i="2"/>
  <c r="I16" i="2"/>
  <c r="H16" i="2"/>
  <c r="K12" i="2"/>
  <c r="J12" i="2"/>
  <c r="I12" i="2"/>
  <c r="H12" i="2"/>
  <c r="G12" i="2"/>
  <c r="K11" i="2"/>
  <c r="J11" i="2"/>
  <c r="I11" i="2"/>
  <c r="H11" i="2"/>
  <c r="K7" i="2"/>
  <c r="J7" i="2"/>
  <c r="I7" i="2"/>
  <c r="H7" i="2"/>
  <c r="K6" i="2"/>
  <c r="J6" i="2"/>
  <c r="I6" i="2"/>
  <c r="H6" i="2"/>
  <c r="BT5" i="12" l="1"/>
  <c r="BT6" i="12" s="1"/>
  <c r="BT7" i="12" s="1"/>
  <c r="BT8" i="12" s="1"/>
  <c r="BT9" i="12" s="1"/>
  <c r="BT10" i="12" s="1"/>
  <c r="BT11" i="12" s="1"/>
  <c r="BT12" i="12" s="1"/>
  <c r="BT13" i="12" s="1"/>
  <c r="BT14" i="12" s="1"/>
  <c r="BT15" i="12" s="1"/>
  <c r="BT16" i="12" s="1"/>
  <c r="BT17" i="12" s="1"/>
  <c r="BT18" i="12" s="1"/>
  <c r="BT19" i="12" s="1"/>
  <c r="BT20" i="12" s="1"/>
  <c r="BT21" i="12" s="1"/>
  <c r="BT22" i="12" s="1"/>
  <c r="BT23" i="12" s="1"/>
  <c r="BT24" i="12" s="1"/>
  <c r="BT25" i="12" s="1"/>
  <c r="BT26" i="12" s="1"/>
  <c r="BT27" i="12" s="1"/>
  <c r="BT28" i="12" s="1"/>
  <c r="BT29" i="12" s="1"/>
  <c r="BT30" i="12" s="1"/>
  <c r="BT31" i="12" s="1"/>
  <c r="BT32" i="12" s="1"/>
  <c r="BT33" i="12" s="1"/>
  <c r="BT34" i="12" s="1"/>
  <c r="BT35" i="12" s="1"/>
  <c r="BT36" i="12" s="1"/>
  <c r="BT37" i="12" s="1"/>
  <c r="BT38" i="12" s="1"/>
  <c r="BT39" i="12" s="1"/>
  <c r="BT40" i="12" s="1"/>
  <c r="BT41" i="12" s="1"/>
  <c r="BT42" i="12" s="1"/>
  <c r="BT43" i="12" s="1"/>
  <c r="BT44" i="12" s="1"/>
  <c r="BT45" i="12" s="1"/>
  <c r="BT46" i="12" s="1"/>
  <c r="BT47" i="12" s="1"/>
  <c r="BT48" i="12" s="1"/>
  <c r="BT49" i="12" s="1"/>
  <c r="BT50" i="12" s="1"/>
  <c r="BT51" i="12" s="1"/>
  <c r="BT52" i="12" s="1"/>
  <c r="BT53" i="12" s="1"/>
  <c r="BT54" i="12" s="1"/>
  <c r="BT55" i="12" s="1"/>
  <c r="BT56" i="12" s="1"/>
  <c r="BT57" i="12" s="1"/>
  <c r="BT58" i="12" s="1"/>
  <c r="BT59" i="12" s="1"/>
  <c r="BT60" i="12" s="1"/>
  <c r="BT61" i="12" s="1"/>
  <c r="BT62" i="12" s="1"/>
  <c r="BT63" i="12" s="1"/>
  <c r="G11" i="2"/>
  <c r="I29" i="12"/>
  <c r="I30" i="12" s="1"/>
  <c r="I31" i="12" s="1"/>
  <c r="I32" i="12" s="1"/>
  <c r="I33" i="12" s="1"/>
  <c r="I34" i="12" s="1"/>
  <c r="I35" i="12" s="1"/>
  <c r="I36" i="12" s="1"/>
  <c r="I37" i="12" s="1"/>
  <c r="B16" i="2"/>
  <c r="C373" i="12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B6" i="2"/>
  <c r="CI63" i="12"/>
  <c r="G16" i="2"/>
  <c r="J16" i="2" s="1"/>
  <c r="EB43" i="12"/>
  <c r="EB44" i="12" s="1"/>
  <c r="EB45" i="12" s="1"/>
  <c r="EB46" i="12" s="1"/>
  <c r="EB47" i="12" s="1"/>
  <c r="EB48" i="12" s="1"/>
  <c r="EB49" i="12" s="1"/>
  <c r="EB50" i="12" s="1"/>
  <c r="EB51" i="12" s="1"/>
  <c r="EB52" i="12" s="1"/>
  <c r="EB53" i="12" s="1"/>
  <c r="EB54" i="12" s="1"/>
  <c r="EB55" i="12" s="1"/>
  <c r="EB56" i="12" s="1"/>
  <c r="EB57" i="12" s="1"/>
  <c r="EB58" i="12" s="1"/>
  <c r="EB59" i="12" s="1"/>
  <c r="EB60" i="12" s="1"/>
  <c r="EB61" i="12" s="1"/>
  <c r="EB62" i="12" s="1"/>
  <c r="G28" i="2"/>
  <c r="EE43" i="12"/>
  <c r="EE44" i="12" s="1"/>
  <c r="EE45" i="12" s="1"/>
  <c r="EE46" i="12" s="1"/>
  <c r="EE47" i="12" s="1"/>
  <c r="EE48" i="12" s="1"/>
  <c r="EE49" i="12" s="1"/>
  <c r="EE50" i="12" s="1"/>
  <c r="EE51" i="12" s="1"/>
  <c r="EE52" i="12" s="1"/>
  <c r="EE53" i="12" s="1"/>
  <c r="EE54" i="12" s="1"/>
  <c r="EE55" i="12" s="1"/>
  <c r="EE56" i="12" s="1"/>
  <c r="EE57" i="12" s="1"/>
  <c r="EE58" i="12" s="1"/>
  <c r="EE59" i="12" s="1"/>
  <c r="EE60" i="12" s="1"/>
  <c r="EE61" i="12" s="1"/>
  <c r="EE62" i="12" s="1"/>
  <c r="G29" i="2"/>
  <c r="BM63" i="12"/>
  <c r="G6" i="2"/>
  <c r="K29" i="12"/>
  <c r="K30" i="12" s="1"/>
  <c r="K31" i="12" s="1"/>
  <c r="K32" i="12" s="1"/>
  <c r="K33" i="12" s="1"/>
  <c r="K34" i="12" s="1"/>
  <c r="K35" i="12" s="1"/>
  <c r="K36" i="12" s="1"/>
  <c r="K37" i="12" s="1"/>
  <c r="B17" i="2"/>
  <c r="BN63" i="12"/>
  <c r="G7" i="2"/>
  <c r="N15" i="12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B22" i="2"/>
  <c r="CX48" i="12"/>
  <c r="CX49" i="12" s="1"/>
  <c r="CX50" i="12" s="1"/>
  <c r="CX51" i="12" s="1"/>
  <c r="CX52" i="12" s="1"/>
  <c r="CX53" i="12" s="1"/>
  <c r="CX54" i="12" s="1"/>
  <c r="CX55" i="12" s="1"/>
  <c r="CX56" i="12" s="1"/>
  <c r="CX57" i="12" s="1"/>
  <c r="CX58" i="12" s="1"/>
  <c r="CX59" i="12" s="1"/>
  <c r="CX60" i="12" s="1"/>
  <c r="CX61" i="12" s="1"/>
  <c r="CX62" i="12" s="1"/>
  <c r="CX63" i="12" s="1"/>
  <c r="G22" i="2"/>
  <c r="J22" i="2" s="1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B23" i="2"/>
  <c r="CY48" i="12"/>
  <c r="CY49" i="12" s="1"/>
  <c r="CY50" i="12" s="1"/>
  <c r="CY51" i="12" s="1"/>
  <c r="CY52" i="12" s="1"/>
  <c r="CY53" i="12" s="1"/>
  <c r="CY54" i="12" s="1"/>
  <c r="CY55" i="12" s="1"/>
  <c r="CY56" i="12" s="1"/>
  <c r="CY57" i="12" s="1"/>
  <c r="CY58" i="12" s="1"/>
  <c r="CY59" i="12" s="1"/>
  <c r="CY60" i="12" s="1"/>
  <c r="CY61" i="12" s="1"/>
  <c r="CY62" i="12" s="1"/>
  <c r="CY63" i="12" s="1"/>
  <c r="G23" i="2"/>
  <c r="J23" i="2" s="1"/>
  <c r="CJ63" i="12"/>
  <c r="G17" i="2"/>
  <c r="J17" i="2" s="1"/>
  <c r="F38" i="12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tc={9dc3bf0d-162d-4873-8f10-c4367800bb31}</author>
    <author>tc={05e854e3-f6c8-439b-bd30-1c150604b388}</author>
    <author>tc={aeac8765-edd5-4e12-9538-c8c58c63c88f}</author>
    <author>tc={bfbcd296-0a55-4616-8f2d-5dc3e454448f}</author>
    <author>tc={a528409b-e8cd-49e0-b630-3218d2bd5664}</author>
    <author>tc={b7932f51-2a5d-44e8-a453-b39e791007bc}</author>
    <author>tc={2916abfa-b975-484d-a1b8-6c3ee4fa8b24}</author>
    <author>tc={74beab22-a1d6-41fb-b035-49dde7e5f44a}</author>
  </authors>
  <commentList>
    <comment ref="C24" authorId="0" shapeId="0" xr:uid="{9DC3BF0D-162D-4873-8F10-C4367800BB31}">
      <text>
        <t>[Threaded comment]
Your version of Excel allows you to read this threaded comment; however, any edits to it will get removed if the file is opened in a newer version of Excel. Learn more: https://go.microsoft.com/fwlink/?linkid=870924
Comment:
    2800</t>
      </text>
    </comment>
    <comment ref="C25" authorId="1" shapeId="0" xr:uid="{05E854E3-F6C8-439B-BD30-1C150604B388}">
      <text>
        <t>[Threaded comment]
Your version of Excel allows you to read this threaded comment; however, any edits to it will get removed if the file is opened in a newer version of Excel. Learn more: https://go.microsoft.com/fwlink/?linkid=870924
Comment:
    3100</t>
      </text>
    </comment>
    <comment ref="D25" authorId="2" shapeId="0" xr:uid="{AEAC8765-EDD5-4E12-9538-C8C58C63C88F}">
      <text>
        <t>[Threaded comment]
Your version of Excel allows you to read this threaded comment; however, any edits to it will get removed if the file is opened in a newer version of Excel. Learn more: https://go.microsoft.com/fwlink/?linkid=870924
Comment:
    3200</t>
      </text>
    </comment>
    <comment ref="E25" authorId="3" shapeId="0" xr:uid="{BFBCD296-0A55-4616-8F2D-5DC3E454448F}">
      <text>
        <t>[Threaded comment]
Your version of Excel allows you to read this threaded comment; however, any edits to it will get removed if the file is opened in a newer version of Excel. Learn more: https://go.microsoft.com/fwlink/?linkid=870924
Comment:
    3300</t>
      </text>
    </comment>
    <comment ref="F25" authorId="4" shapeId="0" xr:uid="{A528409B-E8CD-49E0-B630-3218D2BD5664}">
      <text>
        <t>[Threaded comment]
Your version of Excel allows you to read this threaded comment; however, any edits to it will get removed if the file is opened in a newer version of Excel. Learn more: https://go.microsoft.com/fwlink/?linkid=870924
Comment:
    3400</t>
      </text>
    </comment>
    <comment ref="G25" authorId="5" shapeId="0" xr:uid="{B7932F51-2A5D-44E8-A453-B39E791007BC}">
      <text>
        <t>[Threaded comment]
Your version of Excel allows you to read this threaded comment; however, any edits to it will get removed if the file is opened in a newer version of Excel. Learn more: https://go.microsoft.com/fwlink/?linkid=870924
Comment:
    3500</t>
      </text>
    </comment>
    <comment ref="C30" authorId="6" shapeId="0" xr:uid="{2916ABFA-B975-484D-A1B8-6C3EE4FA8B24}">
      <text>
        <t>[Threaded comment]
Your version of Excel allows you to read this threaded comment; however, any edits to it will get removed if the file is opened in a newer version of Excel. Learn more: https://go.microsoft.com/fwlink/?linkid=870924
Comment:
    6200</t>
      </text>
    </comment>
    <comment ref="C31" authorId="7" shapeId="0" xr:uid="{74BEAB22-A1D6-41FB-B035-49DDE7E5F44A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sorry, this number seems to be a bug  and it was from vehicle advance drawing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tc={89840812-5118-41ae-ae92-f226b4432fbf}</author>
    <author>tc={75a86bdb-c80d-47ae-9049-ec2c174eb140}</author>
    <author>tc={dd0e0145-b7cc-4493-9c22-612f435a2809}</author>
  </authors>
  <commentList>
    <comment ref="P37" authorId="0" shapeId="0" xr:uid="{89840812-5118-41AE-AE92-F226B4432FBF}">
      <text>
        <t>[Threaded comment]
Your version of Excel allows you to read this threaded comment; however, any edits to it will get removed if the file is opened in a newer version of Excel. Learn more: https://go.microsoft.com/fwlink/?linkid=870924
Comment:
    400</t>
      </text>
    </comment>
    <comment ref="Q37" authorId="1" shapeId="0" xr:uid="{75A86BDB-C80D-47AE-9049-EC2C174EB140}">
      <text>
        <t>[Threaded comment]
Your version of Excel allows you to read this threaded comment; however, any edits to it will get removed if the file is opened in a newer version of Excel. Learn more: https://go.microsoft.com/fwlink/?linkid=870924
Comment:
    40</t>
      </text>
    </comment>
    <comment ref="AP43" authorId="2" shapeId="0" xr:uid="{DD0E0145-B7CC-4493-9C22-612F435A2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
Reply:
    I changed the total in the top of the table fro 1 to 60 to 38 to 60
Contrassegnato come risolto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tc={c7b46440-2e81-478d-9d85-ae03b26edaaa}</author>
  </authors>
  <commentList>
    <comment ref="O17" authorId="0" shapeId="0" xr:uid="{C7B46440-2E81-478D-9D85-AE03B26EDA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Hi, is it possible to add a table for the number of accessory that will be sacrificed for each upgrade after 30?
Here is the info: 1x for 30, 1x for 35, 1x for 40, 2x for 45, 2x for 50x 3x for 55.
Reply:
    Done
Contrassegnato come risolto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tc={3c35817f-ee22-43ab-8231-613f47cbfe21}</author>
    <author>tc={b7a820d3-1012-4fa2-a5a9-d1f444892f7a}</author>
  </authors>
  <commentList>
    <comment ref="F1" authorId="0" shapeId="0" xr:uid="{3C35817F-EE22-43AB-8231-613F47CBFE21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thousand separators for all EXP columns
Reply:
    Or maybe even for all columns with numbers above thousand
Contrassegnato come risolto</t>
      </text>
    </comment>
    <comment ref="D8" authorId="1" shapeId="0" xr:uid="{B7A820D3-1012-4FA2-A5A9-D1F444892F7A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Thanks a lot for those sheets. They're very helpful. Is it possible to add fans increase figures for each artist, assets levels?
Reply:
    i am working on something, still in development
Reply:
    Marked as resolved
Reply:
    but only is doable with assets. Not with artist level.
Re-opened
Contrassegnato come risolto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tc={bc9460e7-79d9-4667-873d-914872d2057e}</author>
  </authors>
  <commentList>
    <comment ref="R6" authorId="0" shapeId="0" xr:uid="{BC9460E7-79D9-4667-873D-914872D205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actually 21,300 per level and I think they will just increase by 300 for each set of set of 3 but can update back once I get to that point</t>
      </text>
    </comment>
  </commentList>
</comments>
</file>

<file path=xl/sharedStrings.xml><?xml version="1.0" encoding="utf-8"?>
<sst xmlns="http://schemas.openxmlformats.org/spreadsheetml/2006/main" count="865" uniqueCount="389">
  <si>
    <t>Welcome to Apex Girls Resources Info</t>
  </si>
  <si>
    <t>by @SrCuentaOficial</t>
  </si>
  <si>
    <t>Server 717. Migrate Now!</t>
  </si>
  <si>
    <t>Each level shows the resources needed to reach the next level.</t>
  </si>
  <si>
    <t>Update Notes</t>
  </si>
  <si>
    <t>Leave a comment, or send a screenshot if you'd like to help complete it.</t>
  </si>
  <si>
    <t>23/01/2026</t>
  </si>
  <si>
    <t>New calculator for total resource requirements by level range.</t>
  </si>
  <si>
    <t>Works for Artists, Assets, HQ, Collections, Car and Villa levels.</t>
  </si>
  <si>
    <t>Resource Type</t>
  </si>
  <si>
    <t>Complete Data</t>
  </si>
  <si>
    <t>Incomplete Data</t>
  </si>
  <si>
    <t>22/01/2026</t>
  </si>
  <si>
    <t>Added a new table detailing Promotion Cost (Assets Required) in the Assets tab.</t>
  </si>
  <si>
    <t>Car Parts (Pieces)</t>
  </si>
  <si>
    <t>Class A to SS-4stars</t>
  </si>
  <si>
    <t>Class SS-5stars to SSS-5stars</t>
  </si>
  <si>
    <t>19/01/2026</t>
  </si>
  <si>
    <t>Master Blueprint tables added to the Blueprints Tab (information still pending)</t>
  </si>
  <si>
    <t>Car Parts (Drawings)</t>
  </si>
  <si>
    <t xml:space="preserve">Carcore and Homemaking total amounts changed from levels 1–60 to 38–60. </t>
  </si>
  <si>
    <t>Car Core (Plugs and Coils)</t>
  </si>
  <si>
    <t>Tier D to A+</t>
  </si>
  <si>
    <t>All Complete</t>
  </si>
  <si>
    <t>Applies to Tier 2 and above.</t>
  </si>
  <si>
    <t>HQ Glass</t>
  </si>
  <si>
    <t>Level 1 to 425</t>
  </si>
  <si>
    <t>Levels 426 to 600</t>
  </si>
  <si>
    <t>29/12/2025</t>
  </si>
  <si>
    <t>Total amounts added to Floors,Exhibits,Homeking,CarCore Tab</t>
  </si>
  <si>
    <t>HQ Floors (Wood and Steel)</t>
  </si>
  <si>
    <t>Floor1 to Floor3</t>
  </si>
  <si>
    <t>Floor4 and Floor5</t>
  </si>
  <si>
    <t>Collection Gems</t>
  </si>
  <si>
    <t>Level 1 to 50</t>
  </si>
  <si>
    <t>Museum Rooms (Sandstone and Tiles)</t>
  </si>
  <si>
    <t>Room 1 to 5</t>
  </si>
  <si>
    <t>Villa Suite (Drones)</t>
  </si>
  <si>
    <t>Classic Villa, Elite Villa, Prestige Villa, Luxury Villa, Summit Villa, Iconic Villa and Urban Heights</t>
  </si>
  <si>
    <t>Villa Suite (Design Drafts)</t>
  </si>
  <si>
    <t>Classic Villa, Elite Villa, Prestige Villa, Luxury Villa, Summit Villa, Iconic Villa.</t>
  </si>
  <si>
    <t>Urban Heights</t>
  </si>
  <si>
    <t>Villa Homemaking (Coins and Keys)</t>
  </si>
  <si>
    <t>Tier 1 to 4</t>
  </si>
  <si>
    <t>Assets Coins (Basic, Abroad, and Auction)</t>
  </si>
  <si>
    <t>Level 1 to 60</t>
  </si>
  <si>
    <t>Artist (EXP and Promotion Cards)</t>
  </si>
  <si>
    <t>Level 1 to 140</t>
  </si>
  <si>
    <t>Blueprints</t>
  </si>
  <si>
    <t>Tier 1 to 21</t>
  </si>
  <si>
    <t>Master Blueprints</t>
  </si>
  <si>
    <t>Incomplete</t>
  </si>
  <si>
    <t>Building Cards</t>
  </si>
  <si>
    <t>Level 1 to 15</t>
  </si>
  <si>
    <t>Street Business Gold</t>
  </si>
  <si>
    <t>LEVEL PROGRESSION COST CALCULATOR</t>
  </si>
  <si>
    <t>@SrCuentaOficial</t>
  </si>
  <si>
    <t>ONLY COMPLETE LEVELS ARE AVAILABLE</t>
  </si>
  <si>
    <t>HQ GLASS</t>
  </si>
  <si>
    <t>HQ FLOORS</t>
  </si>
  <si>
    <t>*Available up to level 426</t>
  </si>
  <si>
    <t>Floor</t>
  </si>
  <si>
    <t>*Use Only for Floors 1, 2 and 3</t>
  </si>
  <si>
    <t>From Level</t>
  </si>
  <si>
    <t>To Level</t>
  </si>
  <si>
    <t>You need</t>
  </si>
  <si>
    <t>Glass</t>
  </si>
  <si>
    <t>COLLECTION GEMS</t>
  </si>
  <si>
    <t>MUSEUM EXHIBITS</t>
  </si>
  <si>
    <t>Exhibit</t>
  </si>
  <si>
    <t>Gems</t>
  </si>
  <si>
    <t>CAR PARTS</t>
  </si>
  <si>
    <t>CAR CORE</t>
  </si>
  <si>
    <t>Rank + #Stars</t>
  </si>
  <si>
    <t>*Available until SSS1</t>
  </si>
  <si>
    <t>Rank</t>
  </si>
  <si>
    <t>B</t>
  </si>
  <si>
    <t>SS0</t>
  </si>
  <si>
    <t>SS3</t>
  </si>
  <si>
    <t>Parts</t>
  </si>
  <si>
    <t>Advance Drawings</t>
  </si>
  <si>
    <t>VILLA SUITE</t>
  </si>
  <si>
    <t>VILLA HOMEMAKING</t>
  </si>
  <si>
    <t>Villa + #Gold hammers</t>
  </si>
  <si>
    <t>*Until Urban Heights-0</t>
  </si>
  <si>
    <t>Tier</t>
  </si>
  <si>
    <t>Summit Villa-1</t>
  </si>
  <si>
    <t>Summit Villa-3</t>
  </si>
  <si>
    <t>Drones</t>
  </si>
  <si>
    <t>Design Drafts</t>
  </si>
  <si>
    <t>ARTISTS</t>
  </si>
  <si>
    <t>ASSETS</t>
  </si>
  <si>
    <t>Type</t>
  </si>
  <si>
    <t>Property</t>
  </si>
  <si>
    <t>Source</t>
  </si>
  <si>
    <t>Auction</t>
  </si>
  <si>
    <t>EXP Cards</t>
  </si>
  <si>
    <t>Asset Coins</t>
  </si>
  <si>
    <t>Promotion Cards</t>
  </si>
  <si>
    <t>Extra Assets for Promotion</t>
  </si>
  <si>
    <t>Level</t>
  </si>
  <si>
    <t>COLLECTION GEMS (Blue, Purple or Gold)</t>
  </si>
  <si>
    <t>GEMS SUMMARY</t>
  </si>
  <si>
    <t>Gems per Collection</t>
  </si>
  <si>
    <t>1 to 5</t>
  </si>
  <si>
    <t>6 to 10</t>
  </si>
  <si>
    <t>11 to 15</t>
  </si>
  <si>
    <t>16 to 20</t>
  </si>
  <si>
    <t>21 to 25</t>
  </si>
  <si>
    <t>26 to 30</t>
  </si>
  <si>
    <t>1 to 30</t>
  </si>
  <si>
    <t>31 to 35</t>
  </si>
  <si>
    <t>36 to 40</t>
  </si>
  <si>
    <t>MAX</t>
  </si>
  <si>
    <t>41 to 45</t>
  </si>
  <si>
    <t>46 to 50</t>
  </si>
  <si>
    <t>31 to 50</t>
  </si>
  <si>
    <t>1 to 50</t>
  </si>
  <si>
    <t>CAR VEHICULE UPGRADE PARTS</t>
  </si>
  <si>
    <t>CAR (Vehicle Advance Drawing)</t>
  </si>
  <si>
    <t>Stars</t>
  </si>
  <si>
    <t>Phase 1</t>
  </si>
  <si>
    <t>Phase 2</t>
  </si>
  <si>
    <t>Phase 3</t>
  </si>
  <si>
    <t>Phase 4</t>
  </si>
  <si>
    <t>Phase 5</t>
  </si>
  <si>
    <t>Total (per Part)</t>
  </si>
  <si>
    <t>All 04 Parts</t>
  </si>
  <si>
    <t>Drawings</t>
  </si>
  <si>
    <t>A</t>
  </si>
  <si>
    <t>*</t>
  </si>
  <si>
    <t>C</t>
  </si>
  <si>
    <t>**</t>
  </si>
  <si>
    <t>D</t>
  </si>
  <si>
    <t>***</t>
  </si>
  <si>
    <t>E</t>
  </si>
  <si>
    <t>****</t>
  </si>
  <si>
    <t>*****</t>
  </si>
  <si>
    <t>S</t>
  </si>
  <si>
    <t>SS</t>
  </si>
  <si>
    <t>SSS</t>
  </si>
  <si>
    <t>VILLA CONSTRUCTION DRONES</t>
  </si>
  <si>
    <t>VILLA DESIGN DRAFT</t>
  </si>
  <si>
    <t>Villa</t>
  </si>
  <si>
    <t>Hammers</t>
  </si>
  <si>
    <t>Gold Hammers</t>
  </si>
  <si>
    <t>Stages per Room</t>
  </si>
  <si>
    <t>Droids</t>
  </si>
  <si>
    <t>Droids per Room</t>
  </si>
  <si>
    <t>Droids (All 4 rooms)</t>
  </si>
  <si>
    <t>DRAFTS</t>
  </si>
  <si>
    <t>Classic Villa</t>
  </si>
  <si>
    <t>Elite Villa</t>
  </si>
  <si>
    <t>Prestige Villa</t>
  </si>
  <si>
    <t>Luxury Villa</t>
  </si>
  <si>
    <t>Summit Villa</t>
  </si>
  <si>
    <t>Iconic Villa</t>
  </si>
  <si>
    <t>Total Amounts (From Level 1 to 60)</t>
  </si>
  <si>
    <t>From L 1 to 60</t>
  </si>
  <si>
    <t>Total Amounts (From Level 38 to 60)</t>
  </si>
  <si>
    <t>HQ FLOORS (01 Object of the Room)</t>
  </si>
  <si>
    <t>PRIVATE MUSEUM (01 Object of the room)</t>
  </si>
  <si>
    <t>HOMEMAKING (01 Girl only)</t>
  </si>
  <si>
    <t>CAR CORE (01 part of the car)</t>
  </si>
  <si>
    <t>Floor 1</t>
  </si>
  <si>
    <t>F2</t>
  </si>
  <si>
    <t>F3</t>
  </si>
  <si>
    <t>F4</t>
  </si>
  <si>
    <t>F5</t>
  </si>
  <si>
    <t>Room 1</t>
  </si>
  <si>
    <t>R2</t>
  </si>
  <si>
    <t>R3</t>
  </si>
  <si>
    <t>R4</t>
  </si>
  <si>
    <t>R5</t>
  </si>
  <si>
    <t>Tier 1</t>
  </si>
  <si>
    <t>T2</t>
  </si>
  <si>
    <t>T3</t>
  </si>
  <si>
    <t>T4</t>
  </si>
  <si>
    <t>T5</t>
  </si>
  <si>
    <t>D Grade</t>
  </si>
  <si>
    <t>A+</t>
  </si>
  <si>
    <t>Wood</t>
  </si>
  <si>
    <t>Steel</t>
  </si>
  <si>
    <t>HQ Wood</t>
  </si>
  <si>
    <t>HQ Steel</t>
  </si>
  <si>
    <t>Sandstone</t>
  </si>
  <si>
    <t>Tile</t>
  </si>
  <si>
    <t>HQ Sandstone</t>
  </si>
  <si>
    <t>HQ Tile</t>
  </si>
  <si>
    <t>Coins</t>
  </si>
  <si>
    <t>Keys</t>
  </si>
  <si>
    <t>HQ Coins</t>
  </si>
  <si>
    <t>HQ Keys</t>
  </si>
  <si>
    <t>Plug</t>
  </si>
  <si>
    <t>Coil</t>
  </si>
  <si>
    <t>Enhanced Plug</t>
  </si>
  <si>
    <t>Enhanced Coil</t>
  </si>
  <si>
    <t>ASSET COINS</t>
  </si>
  <si>
    <t>ASSET COINS SUMMARY</t>
  </si>
  <si>
    <t>BASIC GOLD ASSETS</t>
  </si>
  <si>
    <t>ABROAD ADVENTURES ASSETS</t>
  </si>
  <si>
    <t>AUCTION ASSETS</t>
  </si>
  <si>
    <t>BASIC ASSETS</t>
  </si>
  <si>
    <t>Jewelry</t>
  </si>
  <si>
    <t>Car</t>
  </si>
  <si>
    <t>Levels</t>
  </si>
  <si>
    <t>1 to 15</t>
  </si>
  <si>
    <t>51 to 55</t>
  </si>
  <si>
    <t>56 to 60</t>
  </si>
  <si>
    <t>31 to 60</t>
  </si>
  <si>
    <t>1 to 60</t>
  </si>
  <si>
    <t>PROMOTION COST (ASSETS REQUIRED)</t>
  </si>
  <si>
    <t>New Max Level</t>
  </si>
  <si>
    <t>Assets Req.</t>
  </si>
  <si>
    <t>ARTIST EXP CARDS (per level)</t>
  </si>
  <si>
    <t>ARTIST EXP CARDS AND PROMOTION CARDS</t>
  </si>
  <si>
    <t>EXP</t>
  </si>
  <si>
    <t>EXP Accum</t>
  </si>
  <si>
    <t>Promotion Cards Accum</t>
  </si>
  <si>
    <t>1 to 20</t>
  </si>
  <si>
    <t>21 to 30</t>
  </si>
  <si>
    <t>31 to 40</t>
  </si>
  <si>
    <t>41 to 50</t>
  </si>
  <si>
    <t>51 to 60</t>
  </si>
  <si>
    <t>61 to 80</t>
  </si>
  <si>
    <t>81 to 85</t>
  </si>
  <si>
    <t>86 to 90</t>
  </si>
  <si>
    <t>91 to 95</t>
  </si>
  <si>
    <t>96 to 100</t>
  </si>
  <si>
    <t>101 to 105</t>
  </si>
  <si>
    <t>106 to 110</t>
  </si>
  <si>
    <t>111 to 115</t>
  </si>
  <si>
    <t>116 to 120</t>
  </si>
  <si>
    <t>121 to 125</t>
  </si>
  <si>
    <t>126 to 130</t>
  </si>
  <si>
    <t>131 to 135</t>
  </si>
  <si>
    <t>136 to 140</t>
  </si>
  <si>
    <t>BLUEPRINTS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</si>
  <si>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</si>
  <si>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</si>
  <si>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</si>
  <si>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</si>
  <si>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</si>
  <si>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</si>
  <si>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</si>
  <si>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</si>
  <si>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</si>
  <si>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</si>
  <si>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</si>
  <si>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</si>
  <si>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</si>
  <si>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</si>
  <si>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</si>
  <si>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</si>
  <si>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</si>
  <si>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</si>
  <si>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</si>
  <si>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</si>
  <si>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Total</t>
  </si>
  <si>
    <t>MASTER BLUEPRINTS - GROUP BATTLE</t>
  </si>
  <si>
    <t>Hit Song</t>
  </si>
  <si>
    <t>Artist Training</t>
  </si>
  <si>
    <t>Gold Bar</t>
  </si>
  <si>
    <t>Adv Supply</t>
  </si>
  <si>
    <t>Concert Promo</t>
  </si>
  <si>
    <t>Stadium Live</t>
  </si>
  <si>
    <t>Group Strat</t>
  </si>
  <si>
    <t>Talent Scout</t>
  </si>
  <si>
    <t>Ace Prod.</t>
  </si>
  <si>
    <t>Fan Oper.</t>
  </si>
  <si>
    <t>Elimin.</t>
  </si>
  <si>
    <t>Prime Supply</t>
  </si>
  <si>
    <t>MASTER BLUEPRINTS - EXPANSION</t>
  </si>
  <si>
    <t>Mkt Master</t>
  </si>
  <si>
    <t>Hiphop Sing</t>
  </si>
  <si>
    <t>Hiphop Dance</t>
  </si>
  <si>
    <t>R&amp;B Sing</t>
  </si>
  <si>
    <t>R&amp;B Dance</t>
  </si>
  <si>
    <t>Rock Sing</t>
  </si>
  <si>
    <t>Rock Dance</t>
  </si>
  <si>
    <t>EDM Sing</t>
  </si>
  <si>
    <t>EDM Dance</t>
  </si>
  <si>
    <t>Pop Sing</t>
  </si>
  <si>
    <t>Pop Dance</t>
  </si>
  <si>
    <t>Fan Cap</t>
  </si>
  <si>
    <t>Quiet Toil</t>
  </si>
  <si>
    <t>Highl. Momen</t>
  </si>
  <si>
    <t>Rally Cap</t>
  </si>
  <si>
    <t>HQ Building Cards</t>
  </si>
  <si>
    <t>Business Building Gold</t>
  </si>
  <si>
    <t>Cards</t>
  </si>
  <si>
    <t>Accum.</t>
  </si>
  <si>
    <t>Gold</t>
  </si>
  <si>
    <t>Gold Accum.</t>
  </si>
  <si>
    <t>GEMS</t>
  </si>
  <si>
    <t>VILLA</t>
  </si>
  <si>
    <t>ARTIST</t>
  </si>
  <si>
    <t>Assets Acum</t>
  </si>
  <si>
    <t>Glass Ac</t>
  </si>
  <si>
    <t>Gems Ac</t>
  </si>
  <si>
    <t>Parts Ac</t>
  </si>
  <si>
    <t>Draw Acum</t>
  </si>
  <si>
    <t>D Acum</t>
  </si>
  <si>
    <t>Drafts</t>
  </si>
  <si>
    <t>Drafts Ac</t>
  </si>
  <si>
    <t>RANKS</t>
  </si>
  <si>
    <t>TIERS</t>
  </si>
  <si>
    <t>LEVEL</t>
  </si>
  <si>
    <t>EXP CARD</t>
  </si>
  <si>
    <t>EXP ACUM</t>
  </si>
  <si>
    <t>PROM CARDS</t>
  </si>
  <si>
    <t>PROM ACUM</t>
  </si>
  <si>
    <t>Num</t>
  </si>
  <si>
    <t>Sacrif</t>
  </si>
  <si>
    <t>Sacrif Ac</t>
  </si>
  <si>
    <t>A0</t>
  </si>
  <si>
    <t>Classic Villa-0</t>
  </si>
  <si>
    <t>Standard</t>
  </si>
  <si>
    <t>source</t>
  </si>
  <si>
    <t>type</t>
  </si>
  <si>
    <t>colum</t>
  </si>
  <si>
    <t>B0</t>
  </si>
  <si>
    <t>Elite Villa-0</t>
  </si>
  <si>
    <t>Abroad</t>
  </si>
  <si>
    <t>B1</t>
  </si>
  <si>
    <t>Prestige Villa-0</t>
  </si>
  <si>
    <t>C0</t>
  </si>
  <si>
    <t>Prestige Villa-1</t>
  </si>
  <si>
    <t>C1</t>
  </si>
  <si>
    <t>Luxury Villa-0</t>
  </si>
  <si>
    <t>C2</t>
  </si>
  <si>
    <t>Luxury Villa-1</t>
  </si>
  <si>
    <t>D0</t>
  </si>
  <si>
    <t>Luxury Villa-2</t>
  </si>
  <si>
    <t>D1</t>
  </si>
  <si>
    <t>Luxury Villa-3</t>
  </si>
  <si>
    <t>D2</t>
  </si>
  <si>
    <t>Summit Villa-0</t>
  </si>
  <si>
    <t>D3</t>
  </si>
  <si>
    <t>E0</t>
  </si>
  <si>
    <t>Summit Villa-2</t>
  </si>
  <si>
    <t>E1</t>
  </si>
  <si>
    <t>E2</t>
  </si>
  <si>
    <t>Summit Villa-4</t>
  </si>
  <si>
    <t>E3</t>
  </si>
  <si>
    <t>Summit Villa-5</t>
  </si>
  <si>
    <t>E4</t>
  </si>
  <si>
    <t>Summit Villa-6</t>
  </si>
  <si>
    <t>E5</t>
  </si>
  <si>
    <t>Summit Villa-7</t>
  </si>
  <si>
    <t>S0</t>
  </si>
  <si>
    <t>Summit Villa-8</t>
  </si>
  <si>
    <t>S1</t>
  </si>
  <si>
    <t>Summit Villa-9</t>
  </si>
  <si>
    <t>S2</t>
  </si>
  <si>
    <t>Iconic Villa-0</t>
  </si>
  <si>
    <t>S3</t>
  </si>
  <si>
    <t>Iconic Villa-1</t>
  </si>
  <si>
    <t>S4</t>
  </si>
  <si>
    <t>Iconic Villa-2</t>
  </si>
  <si>
    <t>S5</t>
  </si>
  <si>
    <t>Iconic Villa-3</t>
  </si>
  <si>
    <t>Iconic Villa-4</t>
  </si>
  <si>
    <t>SS1</t>
  </si>
  <si>
    <t>Iconic Villa-5</t>
  </si>
  <si>
    <t>SS2</t>
  </si>
  <si>
    <t>Iconic Villa-6</t>
  </si>
  <si>
    <t>Iconic Villa-7</t>
  </si>
  <si>
    <t>SS4</t>
  </si>
  <si>
    <t>Iconic Villa-8</t>
  </si>
  <si>
    <t>SS5</t>
  </si>
  <si>
    <t>Iconic Villa-9</t>
  </si>
  <si>
    <t>SSS0</t>
  </si>
  <si>
    <t>Urban Heights-0</t>
  </si>
  <si>
    <t>SSS1</t>
  </si>
  <si>
    <t>Urban Heights-1</t>
  </si>
  <si>
    <t>SSS2</t>
  </si>
  <si>
    <t>Urban Heights-2</t>
  </si>
  <si>
    <t>SSS3</t>
  </si>
  <si>
    <t>Urban Heights-3</t>
  </si>
  <si>
    <t>SSS4</t>
  </si>
  <si>
    <t>Urban Heights-4</t>
  </si>
  <si>
    <t>SSS5</t>
  </si>
  <si>
    <t>Urban Heights-5</t>
  </si>
  <si>
    <t>Urban Heights-6</t>
  </si>
  <si>
    <t>Urban Heights-7</t>
  </si>
  <si>
    <t>Urban Heights-8</t>
  </si>
  <si>
    <t>Urban Heights-9</t>
  </si>
  <si>
    <t>Urban Heights-10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</si>
</sst>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2"/>
      <color theme="1"/>
      <name val="Arial"/>
      <family val="2"/>
    </font>
    <font>
      <b/>
      <sz val="9"/>
      <color rgb="FFFFFFFF"/>
      <name val="Calibri"/>
      <family val="2"/>
    </font>
    <font>
      <sz val="9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2F75B5"/>
        <bgColor rgb="FF2F75B5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E5201"/>
        <bgColor rgb="FFBE5201"/>
      </patternFill>
    </fill>
    <fill>
      <patternFill patternType="solid">
        <fgColor rgb="FFFF6D01"/>
        <bgColor rgb="FFFF6D01"/>
      </patternFill>
    </fill>
    <fill>
      <patternFill patternType="solid">
        <fgColor rgb="FFFEA767"/>
        <bgColor rgb="FFFEA767"/>
      </patternFill>
    </fill>
    <fill>
      <patternFill patternType="solid">
        <fgColor rgb="FFFFC599"/>
        <bgColor rgb="FFFFC599"/>
      </patternFill>
    </fill>
    <fill>
      <patternFill patternType="solid">
        <fgColor rgb="FFFFE1CC"/>
        <bgColor rgb="FFFFE1CC"/>
      </patternFill>
    </fill>
    <fill>
      <patternFill patternType="solid">
        <fgColor rgb="FF7AD694"/>
        <bgColor rgb="FF7AD694"/>
      </patternFill>
    </fill>
    <fill>
      <patternFill patternType="solid">
        <fgColor rgb="FF808080"/>
        <bgColor rgb="FF808080"/>
      </patternFill>
    </fill>
    <fill>
      <patternFill patternType="solid">
        <fgColor rgb="FFFDD868"/>
        <bgColor rgb="FFFDD868"/>
      </patternFill>
    </fill>
    <fill>
      <patternFill patternType="solid">
        <fgColor rgb="FFFEF2CD"/>
        <bgColor rgb="FFFEF2CD"/>
      </patternFill>
    </fill>
    <fill>
      <patternFill patternType="solid">
        <fgColor rgb="FFDDEBF7"/>
        <bgColor rgb="FFDDEBF7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45F06"/>
        <bgColor rgb="FFB45F06"/>
      </patternFill>
    </fill>
    <fill>
      <patternFill patternType="solid">
        <fgColor rgb="FFA9D08E"/>
        <bgColor rgb="FFA9D08E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n">
        <color rgb="FF000000"/>
      </right>
      <top style="thick">
        <color rgb="FF00B050"/>
      </top>
      <bottom/>
      <diagonal/>
    </border>
    <border>
      <left/>
      <right/>
      <top style="thick">
        <color rgb="FFBF8F00"/>
      </top>
      <bottom/>
      <diagonal/>
    </border>
    <border>
      <left/>
      <right style="thin">
        <color rgb="FF000000"/>
      </right>
      <top style="thick">
        <color rgb="FFBF8F00"/>
      </top>
      <bottom/>
      <diagonal/>
    </border>
  </borders>
  <cellStyleXfs count="1">
    <xf numFmtId="0" fontId="0" fillId="0" borderId="0"/>
  </cellStyleXfs>
  <cellXfs count="50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2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3" fontId="12" fillId="5" borderId="0" xfId="0" applyNumberFormat="1" applyFont="1" applyFill="1" applyAlignment="1">
      <alignment horizontal="left" vertical="center"/>
    </xf>
    <xf numFmtId="3" fontId="13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3" fontId="12" fillId="6" borderId="0" xfId="0" applyNumberFormat="1" applyFont="1" applyFill="1" applyAlignment="1">
      <alignment horizontal="left" vertical="center"/>
    </xf>
    <xf numFmtId="3" fontId="13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13" fillId="7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2" fillId="8" borderId="0" xfId="0" applyNumberFormat="1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3" fontId="12" fillId="9" borderId="0" xfId="0" applyNumberFormat="1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2" fillId="10" borderId="0" xfId="0" applyNumberFormat="1" applyFont="1" applyFill="1" applyAlignment="1">
      <alignment horizontal="left" vertical="center"/>
    </xf>
    <xf numFmtId="3" fontId="13" fillId="10" borderId="0" xfId="0" applyNumberFormat="1" applyFont="1" applyFill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3" fontId="12" fillId="11" borderId="0" xfId="0" applyNumberFormat="1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3" fontId="18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vertical="center"/>
    </xf>
    <xf numFmtId="3" fontId="9" fillId="0" borderId="0" xfId="0" applyNumberFormat="1" applyFont="1"/>
    <xf numFmtId="3" fontId="8" fillId="0" borderId="0" xfId="0" applyNumberFormat="1" applyFont="1"/>
    <xf numFmtId="3" fontId="19" fillId="0" borderId="0" xfId="0" applyNumberFormat="1" applyFont="1"/>
    <xf numFmtId="3" fontId="20" fillId="13" borderId="1" xfId="0" applyNumberFormat="1" applyFont="1" applyFill="1" applyBorder="1" applyAlignment="1">
      <alignment horizontal="center" vertical="center"/>
    </xf>
    <xf numFmtId="3" fontId="20" fillId="13" borderId="3" xfId="0" applyNumberFormat="1" applyFont="1" applyFill="1" applyBorder="1" applyAlignment="1">
      <alignment horizontal="center" vertical="center"/>
    </xf>
    <xf numFmtId="3" fontId="20" fillId="14" borderId="3" xfId="0" applyNumberFormat="1" applyFont="1" applyFill="1" applyBorder="1" applyAlignment="1">
      <alignment horizontal="center" vertical="center"/>
    </xf>
    <xf numFmtId="3" fontId="20" fillId="15" borderId="3" xfId="0" applyNumberFormat="1" applyFont="1" applyFill="1" applyBorder="1" applyAlignment="1">
      <alignment horizontal="center" vertical="center"/>
    </xf>
    <xf numFmtId="3" fontId="20" fillId="16" borderId="3" xfId="0" applyNumberFormat="1" applyFont="1" applyFill="1" applyBorder="1" applyAlignment="1">
      <alignment horizontal="center" vertical="center"/>
    </xf>
    <xf numFmtId="3" fontId="14" fillId="17" borderId="3" xfId="0" applyNumberFormat="1" applyFont="1" applyFill="1" applyBorder="1" applyAlignment="1">
      <alignment horizontal="center" vertical="center"/>
    </xf>
    <xf numFmtId="3" fontId="14" fillId="18" borderId="3" xfId="0" applyNumberFormat="1" applyFont="1" applyFill="1" applyBorder="1" applyAlignment="1">
      <alignment horizontal="center" vertical="center"/>
    </xf>
    <xf numFmtId="3" fontId="14" fillId="19" borderId="3" xfId="0" applyNumberFormat="1" applyFont="1" applyFill="1" applyBorder="1" applyAlignment="1">
      <alignment horizontal="center" vertical="center"/>
    </xf>
    <xf numFmtId="3" fontId="14" fillId="20" borderId="3" xfId="0" applyNumberFormat="1" applyFont="1" applyFill="1" applyBorder="1" applyAlignment="1">
      <alignment horizontal="center" vertical="center"/>
    </xf>
    <xf numFmtId="3" fontId="20" fillId="16" borderId="2" xfId="0" applyNumberFormat="1" applyFont="1" applyFill="1" applyBorder="1" applyAlignment="1">
      <alignment horizontal="center" vertical="center"/>
    </xf>
    <xf numFmtId="3" fontId="21" fillId="0" borderId="0" xfId="0" applyNumberFormat="1" applyFont="1"/>
    <xf numFmtId="3" fontId="14" fillId="21" borderId="7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14" fillId="21" borderId="0" xfId="0" applyNumberFormat="1" applyFont="1" applyFill="1" applyAlignment="1">
      <alignment horizontal="center"/>
    </xf>
    <xf numFmtId="3" fontId="8" fillId="0" borderId="8" xfId="0" applyNumberFormat="1" applyFont="1" applyBorder="1"/>
    <xf numFmtId="3" fontId="14" fillId="21" borderId="9" xfId="0" applyNumberFormat="1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14" fillId="21" borderId="10" xfId="0" applyNumberFormat="1" applyFont="1" applyFill="1" applyBorder="1" applyAlignment="1">
      <alignment horizontal="center"/>
    </xf>
    <xf numFmtId="3" fontId="8" fillId="0" borderId="11" xfId="0" applyNumberFormat="1" applyFont="1" applyBorder="1"/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14" fillId="22" borderId="1" xfId="0" applyNumberFormat="1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/>
    </xf>
    <xf numFmtId="3" fontId="14" fillId="23" borderId="1" xfId="0" applyNumberFormat="1" applyFont="1" applyFill="1" applyBorder="1" applyAlignment="1">
      <alignment horizontal="center" vertical="center"/>
    </xf>
    <xf numFmtId="3" fontId="14" fillId="23" borderId="4" xfId="0" applyNumberFormat="1" applyFont="1" applyFill="1" applyBorder="1" applyAlignment="1">
      <alignment horizontal="center" vertical="center"/>
    </xf>
    <xf numFmtId="3" fontId="14" fillId="24" borderId="1" xfId="0" applyNumberFormat="1" applyFont="1" applyFill="1" applyBorder="1" applyAlignment="1">
      <alignment horizontal="center" vertical="center"/>
    </xf>
    <xf numFmtId="3" fontId="14" fillId="24" borderId="4" xfId="0" applyNumberFormat="1" applyFont="1" applyFill="1" applyBorder="1" applyAlignment="1">
      <alignment horizontal="center" vertical="center"/>
    </xf>
    <xf numFmtId="3" fontId="14" fillId="25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14" fillId="25" borderId="9" xfId="0" applyNumberFormat="1" applyFont="1" applyFill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3" fontId="14" fillId="26" borderId="4" xfId="0" applyNumberFormat="1" applyFont="1" applyFill="1" applyBorder="1" applyAlignment="1">
      <alignment horizontal="center" vertical="center"/>
    </xf>
    <xf numFmtId="3" fontId="7" fillId="26" borderId="4" xfId="0" applyNumberFormat="1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vertical="center"/>
    </xf>
    <xf numFmtId="3" fontId="8" fillId="0" borderId="11" xfId="0" applyNumberFormat="1" applyFont="1" applyBorder="1" applyAlignment="1">
      <alignment vertical="center"/>
    </xf>
    <xf numFmtId="3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20" fillId="27" borderId="1" xfId="0" applyNumberFormat="1" applyFont="1" applyFill="1" applyBorder="1" applyAlignment="1">
      <alignment horizontal="center" vertical="center"/>
    </xf>
    <xf numFmtId="3" fontId="20" fillId="27" borderId="2" xfId="0" applyNumberFormat="1" applyFont="1" applyFill="1" applyBorder="1" applyAlignment="1">
      <alignment horizontal="center" vertical="center"/>
    </xf>
    <xf numFmtId="3" fontId="20" fillId="27" borderId="3" xfId="0" applyNumberFormat="1" applyFont="1" applyFill="1" applyBorder="1" applyAlignment="1">
      <alignment horizontal="center" vertical="center"/>
    </xf>
    <xf numFmtId="3" fontId="20" fillId="28" borderId="4" xfId="0" applyNumberFormat="1" applyFont="1" applyFill="1" applyBorder="1" applyAlignment="1">
      <alignment horizontal="center" vertical="center"/>
    </xf>
    <xf numFmtId="3" fontId="13" fillId="29" borderId="1" xfId="0" applyNumberFormat="1" applyFont="1" applyFill="1" applyBorder="1" applyAlignment="1">
      <alignment horizontal="center" vertical="center"/>
    </xf>
    <xf numFmtId="3" fontId="13" fillId="29" borderId="2" xfId="0" applyNumberFormat="1" applyFont="1" applyFill="1" applyBorder="1" applyAlignment="1">
      <alignment horizontal="center" vertical="center"/>
    </xf>
    <xf numFmtId="3" fontId="13" fillId="29" borderId="4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3" fontId="7" fillId="30" borderId="14" xfId="0" applyNumberFormat="1" applyFont="1" applyFill="1" applyBorder="1" applyAlignment="1">
      <alignment horizontal="center" vertical="center"/>
    </xf>
    <xf numFmtId="3" fontId="8" fillId="31" borderId="16" xfId="0" applyNumberFormat="1" applyFont="1" applyFill="1" applyBorder="1" applyAlignment="1">
      <alignment vertical="center"/>
    </xf>
    <xf numFmtId="3" fontId="7" fillId="30" borderId="15" xfId="0" applyNumberFormat="1" applyFont="1" applyFill="1" applyBorder="1" applyAlignment="1">
      <alignment horizontal="center" vertical="center"/>
    </xf>
    <xf numFmtId="3" fontId="7" fillId="30" borderId="12" xfId="0" applyNumberFormat="1" applyFont="1" applyFill="1" applyBorder="1" applyAlignment="1">
      <alignment horizontal="center" vertical="center"/>
    </xf>
    <xf numFmtId="3" fontId="7" fillId="30" borderId="5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3" fontId="14" fillId="7" borderId="7" xfId="0" applyNumberFormat="1" applyFont="1" applyFill="1" applyBorder="1" applyAlignment="1">
      <alignment horizontal="center" vertical="center"/>
    </xf>
    <xf numFmtId="3" fontId="14" fillId="7" borderId="8" xfId="0" applyNumberFormat="1" applyFont="1" applyFill="1" applyBorder="1" applyAlignment="1">
      <alignment horizontal="center" vertical="center"/>
    </xf>
    <xf numFmtId="3" fontId="7" fillId="25" borderId="7" xfId="0" applyNumberFormat="1" applyFont="1" applyFill="1" applyBorder="1" applyAlignment="1">
      <alignment horizontal="center" vertical="center"/>
    </xf>
    <xf numFmtId="3" fontId="7" fillId="25" borderId="0" xfId="0" applyNumberFormat="1" applyFont="1" applyFill="1" applyAlignment="1">
      <alignment horizontal="center" vertical="center"/>
    </xf>
    <xf numFmtId="3" fontId="8" fillId="31" borderId="0" xfId="0" applyNumberFormat="1" applyFont="1" applyFill="1" applyAlignment="1">
      <alignment vertical="center"/>
    </xf>
    <xf numFmtId="3" fontId="7" fillId="25" borderId="8" xfId="0" applyNumberFormat="1" applyFont="1" applyFill="1" applyBorder="1" applyAlignment="1">
      <alignment horizontal="center" vertical="center"/>
    </xf>
    <xf numFmtId="3" fontId="7" fillId="25" borderId="12" xfId="0" applyNumberFormat="1" applyFont="1" applyFill="1" applyBorder="1" applyAlignment="1">
      <alignment horizontal="center" vertical="center"/>
    </xf>
    <xf numFmtId="3" fontId="14" fillId="32" borderId="7" xfId="0" applyNumberFormat="1" applyFont="1" applyFill="1" applyBorder="1" applyAlignment="1">
      <alignment horizontal="center" vertical="center"/>
    </xf>
    <xf numFmtId="3" fontId="14" fillId="32" borderId="8" xfId="0" applyNumberFormat="1" applyFont="1" applyFill="1" applyBorder="1" applyAlignment="1">
      <alignment horizontal="center" vertical="center"/>
    </xf>
    <xf numFmtId="3" fontId="7" fillId="30" borderId="7" xfId="0" applyNumberFormat="1" applyFont="1" applyFill="1" applyBorder="1" applyAlignment="1">
      <alignment horizontal="center" vertical="center"/>
    </xf>
    <xf numFmtId="3" fontId="7" fillId="30" borderId="0" xfId="0" applyNumberFormat="1" applyFont="1" applyFill="1" applyAlignment="1">
      <alignment horizontal="center" vertical="center"/>
    </xf>
    <xf numFmtId="3" fontId="7" fillId="30" borderId="8" xfId="0" applyNumberFormat="1" applyFont="1" applyFill="1" applyBorder="1" applyAlignment="1">
      <alignment horizontal="center" vertical="center"/>
    </xf>
    <xf numFmtId="3" fontId="14" fillId="33" borderId="7" xfId="0" applyNumberFormat="1" applyFont="1" applyFill="1" applyBorder="1" applyAlignment="1">
      <alignment horizontal="center" vertical="center"/>
    </xf>
    <xf numFmtId="3" fontId="14" fillId="33" borderId="8" xfId="0" applyNumberFormat="1" applyFont="1" applyFill="1" applyBorder="1" applyAlignment="1">
      <alignment horizontal="center" vertical="center"/>
    </xf>
    <xf numFmtId="3" fontId="14" fillId="34" borderId="7" xfId="0" applyNumberFormat="1" applyFont="1" applyFill="1" applyBorder="1" applyAlignment="1">
      <alignment horizontal="center" vertical="center"/>
    </xf>
    <xf numFmtId="3" fontId="14" fillId="34" borderId="8" xfId="0" applyNumberFormat="1" applyFont="1" applyFill="1" applyBorder="1" applyAlignment="1">
      <alignment horizontal="center" vertical="center"/>
    </xf>
    <xf numFmtId="3" fontId="14" fillId="35" borderId="7" xfId="0" applyNumberFormat="1" applyFont="1" applyFill="1" applyBorder="1" applyAlignment="1">
      <alignment horizontal="center" vertical="center"/>
    </xf>
    <xf numFmtId="3" fontId="14" fillId="35" borderId="8" xfId="0" applyNumberFormat="1" applyFont="1" applyFill="1" applyBorder="1" applyAlignment="1">
      <alignment horizontal="center" vertical="center"/>
    </xf>
    <xf numFmtId="3" fontId="7" fillId="25" borderId="12" xfId="0" applyNumberFormat="1" applyFont="1" applyFill="1" applyBorder="1" applyAlignment="1">
      <alignment horizontal="center"/>
    </xf>
    <xf numFmtId="3" fontId="14" fillId="35" borderId="0" xfId="0" applyNumberFormat="1" applyFont="1" applyFill="1" applyAlignment="1">
      <alignment horizontal="center" vertical="center"/>
    </xf>
    <xf numFmtId="3" fontId="14" fillId="10" borderId="7" xfId="0" applyNumberFormat="1" applyFont="1" applyFill="1" applyBorder="1" applyAlignment="1">
      <alignment horizontal="center" vertical="center"/>
    </xf>
    <xf numFmtId="3" fontId="14" fillId="10" borderId="8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/>
    </xf>
    <xf numFmtId="3" fontId="14" fillId="10" borderId="7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14" fillId="36" borderId="7" xfId="0" applyNumberFormat="1" applyFont="1" applyFill="1" applyBorder="1" applyAlignment="1">
      <alignment horizontal="center"/>
    </xf>
    <xf numFmtId="3" fontId="14" fillId="36" borderId="8" xfId="0" applyNumberFormat="1" applyFont="1" applyFill="1" applyBorder="1" applyAlignment="1">
      <alignment horizontal="center"/>
    </xf>
    <xf numFmtId="3" fontId="7" fillId="37" borderId="8" xfId="0" applyNumberFormat="1" applyFont="1" applyFill="1" applyBorder="1" applyAlignment="1">
      <alignment horizontal="center"/>
    </xf>
    <xf numFmtId="37" fontId="8" fillId="0" borderId="0" xfId="0" applyNumberFormat="1" applyFont="1"/>
    <xf numFmtId="3" fontId="14" fillId="36" borderId="9" xfId="0" applyNumberFormat="1" applyFont="1" applyFill="1" applyBorder="1" applyAlignment="1">
      <alignment horizontal="center"/>
    </xf>
    <xf numFmtId="3" fontId="14" fillId="36" borderId="10" xfId="0" applyNumberFormat="1" applyFont="1" applyFill="1" applyBorder="1" applyAlignment="1">
      <alignment horizontal="center"/>
    </xf>
    <xf numFmtId="3" fontId="7" fillId="25" borderId="9" xfId="0" applyNumberFormat="1" applyFont="1" applyFill="1" applyBorder="1" applyAlignment="1">
      <alignment horizontal="center" vertical="center"/>
    </xf>
    <xf numFmtId="3" fontId="7" fillId="25" borderId="10" xfId="0" applyNumberFormat="1" applyFont="1" applyFill="1" applyBorder="1" applyAlignment="1">
      <alignment horizontal="center" vertical="center"/>
    </xf>
    <xf numFmtId="3" fontId="7" fillId="37" borderId="11" xfId="0" applyNumberFormat="1" applyFont="1" applyFill="1" applyBorder="1" applyAlignment="1">
      <alignment horizontal="center"/>
    </xf>
    <xf numFmtId="3" fontId="7" fillId="25" borderId="13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left" vertical="center"/>
    </xf>
    <xf numFmtId="3" fontId="13" fillId="38" borderId="1" xfId="0" applyNumberFormat="1" applyFont="1" applyFill="1" applyBorder="1" applyAlignment="1">
      <alignment horizontal="center" vertical="center"/>
    </xf>
    <xf numFmtId="3" fontId="13" fillId="38" borderId="1" xfId="0" applyNumberFormat="1" applyFont="1" applyFill="1" applyBorder="1" applyAlignment="1">
      <alignment horizontal="center" vertical="center" wrapText="1"/>
    </xf>
    <xf numFmtId="3" fontId="13" fillId="38" borderId="2" xfId="0" applyNumberFormat="1" applyFont="1" applyFill="1" applyBorder="1" applyAlignment="1">
      <alignment horizontal="center" vertical="center" wrapText="1"/>
    </xf>
    <xf numFmtId="3" fontId="13" fillId="38" borderId="3" xfId="0" applyNumberFormat="1" applyFont="1" applyFill="1" applyBorder="1" applyAlignment="1">
      <alignment horizontal="center" vertical="center" wrapText="1"/>
    </xf>
    <xf numFmtId="3" fontId="13" fillId="39" borderId="1" xfId="0" applyNumberFormat="1" applyFont="1" applyFill="1" applyBorder="1" applyAlignment="1">
      <alignment horizontal="center" vertical="center" wrapText="1"/>
    </xf>
    <xf numFmtId="3" fontId="13" fillId="39" borderId="2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Alignment="1">
      <alignment vertical="center"/>
    </xf>
    <xf numFmtId="3" fontId="13" fillId="0" borderId="7" xfId="0" applyNumberFormat="1" applyFont="1" applyBorder="1" applyAlignment="1">
      <alignment horizontal="center" vertical="center"/>
    </xf>
    <xf numFmtId="3" fontId="13" fillId="7" borderId="7" xfId="0" applyNumberFormat="1" applyFont="1" applyFill="1" applyBorder="1" applyAlignment="1">
      <alignment horizontal="center" vertical="center"/>
    </xf>
    <xf numFmtId="3" fontId="16" fillId="7" borderId="8" xfId="0" applyNumberFormat="1" applyFont="1" applyFill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3" fillId="37" borderId="7" xfId="0" applyNumberFormat="1" applyFont="1" applyFill="1" applyBorder="1" applyAlignment="1">
      <alignment horizontal="center" vertical="center"/>
    </xf>
    <xf numFmtId="3" fontId="13" fillId="32" borderId="7" xfId="0" applyNumberFormat="1" applyFont="1" applyFill="1" applyBorder="1" applyAlignment="1">
      <alignment horizontal="center" vertical="center"/>
    </xf>
    <xf numFmtId="3" fontId="16" fillId="32" borderId="8" xfId="0" applyNumberFormat="1" applyFont="1" applyFill="1" applyBorder="1" applyAlignment="1">
      <alignment horizontal="center" vertical="center"/>
    </xf>
    <xf numFmtId="3" fontId="7" fillId="37" borderId="0" xfId="0" applyNumberFormat="1" applyFont="1" applyFill="1" applyAlignment="1">
      <alignment horizontal="center"/>
    </xf>
    <xf numFmtId="3" fontId="16" fillId="37" borderId="8" xfId="0" applyNumberFormat="1" applyFont="1" applyFill="1" applyBorder="1" applyAlignment="1">
      <alignment horizontal="center" vertical="center"/>
    </xf>
    <xf numFmtId="3" fontId="16" fillId="37" borderId="7" xfId="0" applyNumberFormat="1" applyFont="1" applyFill="1" applyBorder="1" applyAlignment="1">
      <alignment horizontal="center" vertical="center"/>
    </xf>
    <xf numFmtId="3" fontId="13" fillId="33" borderId="7" xfId="0" applyNumberFormat="1" applyFont="1" applyFill="1" applyBorder="1" applyAlignment="1">
      <alignment horizontal="center" vertical="center"/>
    </xf>
    <xf numFmtId="3" fontId="16" fillId="33" borderId="8" xfId="0" applyNumberFormat="1" applyFont="1" applyFill="1" applyBorder="1" applyAlignment="1">
      <alignment horizontal="center" vertical="center"/>
    </xf>
    <xf numFmtId="3" fontId="13" fillId="34" borderId="7" xfId="0" applyNumberFormat="1" applyFont="1" applyFill="1" applyBorder="1" applyAlignment="1">
      <alignment horizontal="center" vertical="center"/>
    </xf>
    <xf numFmtId="3" fontId="16" fillId="34" borderId="8" xfId="0" applyNumberFormat="1" applyFont="1" applyFill="1" applyBorder="1" applyAlignment="1">
      <alignment horizontal="center" vertical="center"/>
    </xf>
    <xf numFmtId="3" fontId="13" fillId="35" borderId="7" xfId="0" applyNumberFormat="1" applyFont="1" applyFill="1" applyBorder="1" applyAlignment="1">
      <alignment horizontal="center" vertical="center"/>
    </xf>
    <xf numFmtId="3" fontId="16" fillId="35" borderId="8" xfId="0" applyNumberFormat="1" applyFont="1" applyFill="1" applyBorder="1" applyAlignment="1">
      <alignment horizontal="center" vertical="center"/>
    </xf>
    <xf numFmtId="3" fontId="14" fillId="25" borderId="7" xfId="0" applyNumberFormat="1" applyFont="1" applyFill="1" applyBorder="1" applyAlignment="1">
      <alignment horizontal="center"/>
    </xf>
    <xf numFmtId="3" fontId="7" fillId="10" borderId="0" xfId="0" applyNumberFormat="1" applyFont="1" applyFill="1" applyAlignment="1">
      <alignment horizontal="center"/>
    </xf>
    <xf numFmtId="3" fontId="7" fillId="37" borderId="7" xfId="0" applyNumberFormat="1" applyFont="1" applyFill="1" applyBorder="1" applyAlignment="1">
      <alignment horizontal="center"/>
    </xf>
    <xf numFmtId="3" fontId="7" fillId="10" borderId="8" xfId="0" applyNumberFormat="1" applyFont="1" applyFill="1" applyBorder="1" applyAlignment="1">
      <alignment horizontal="center"/>
    </xf>
    <xf numFmtId="3" fontId="8" fillId="25" borderId="7" xfId="0" applyNumberFormat="1" applyFont="1" applyFill="1" applyBorder="1"/>
    <xf numFmtId="3" fontId="14" fillId="0" borderId="7" xfId="0" applyNumberFormat="1" applyFont="1" applyBorder="1" applyAlignment="1">
      <alignment horizontal="center"/>
    </xf>
    <xf numFmtId="3" fontId="7" fillId="36" borderId="8" xfId="0" applyNumberFormat="1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9" xfId="0" applyNumberFormat="1" applyFont="1" applyBorder="1"/>
    <xf numFmtId="3" fontId="7" fillId="36" borderId="11" xfId="0" applyNumberFormat="1" applyFont="1" applyFill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25" fillId="40" borderId="0" xfId="0" applyNumberFormat="1" applyFont="1" applyFill="1" applyAlignment="1">
      <alignment horizontal="center" textRotation="90"/>
    </xf>
    <xf numFmtId="3" fontId="20" fillId="4" borderId="16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3" fontId="7" fillId="44" borderId="3" xfId="0" applyNumberFormat="1" applyFont="1" applyFill="1" applyBorder="1" applyAlignment="1">
      <alignment horizontal="center" vertical="center"/>
    </xf>
    <xf numFmtId="3" fontId="7" fillId="45" borderId="1" xfId="0" applyNumberFormat="1" applyFont="1" applyFill="1" applyBorder="1" applyAlignment="1">
      <alignment horizontal="center" vertical="center"/>
    </xf>
    <xf numFmtId="3" fontId="7" fillId="45" borderId="3" xfId="0" applyNumberFormat="1" applyFont="1" applyFill="1" applyBorder="1" applyAlignment="1">
      <alignment horizontal="center" vertical="center"/>
    </xf>
    <xf numFmtId="3" fontId="7" fillId="45" borderId="2" xfId="0" applyNumberFormat="1" applyFont="1" applyFill="1" applyBorder="1" applyAlignment="1">
      <alignment horizontal="center" vertical="center"/>
    </xf>
    <xf numFmtId="3" fontId="7" fillId="46" borderId="1" xfId="0" applyNumberFormat="1" applyFont="1" applyFill="1" applyBorder="1" applyAlignment="1">
      <alignment horizontal="center" vertical="center"/>
    </xf>
    <xf numFmtId="3" fontId="7" fillId="46" borderId="2" xfId="0" applyNumberFormat="1" applyFont="1" applyFill="1" applyBorder="1" applyAlignment="1">
      <alignment horizontal="center" vertical="center"/>
    </xf>
    <xf numFmtId="3" fontId="7" fillId="46" borderId="3" xfId="0" applyNumberFormat="1" applyFont="1" applyFill="1" applyBorder="1" applyAlignment="1">
      <alignment horizontal="center" vertical="center"/>
    </xf>
    <xf numFmtId="3" fontId="7" fillId="47" borderId="1" xfId="0" applyNumberFormat="1" applyFont="1" applyFill="1" applyBorder="1" applyAlignment="1">
      <alignment horizontal="center" vertical="center"/>
    </xf>
    <xf numFmtId="3" fontId="7" fillId="47" borderId="2" xfId="0" applyNumberFormat="1" applyFont="1" applyFill="1" applyBorder="1" applyAlignment="1">
      <alignment horizontal="center" vertical="center"/>
    </xf>
    <xf numFmtId="3" fontId="7" fillId="47" borderId="3" xfId="0" applyNumberFormat="1" applyFont="1" applyFill="1" applyBorder="1" applyAlignment="1">
      <alignment horizontal="center" vertical="center"/>
    </xf>
    <xf numFmtId="3" fontId="26" fillId="40" borderId="0" xfId="0" applyNumberFormat="1" applyFont="1" applyFill="1" applyAlignment="1">
      <alignment horizontal="center"/>
    </xf>
    <xf numFmtId="3" fontId="16" fillId="48" borderId="7" xfId="0" applyNumberFormat="1" applyFont="1" applyFill="1" applyBorder="1" applyAlignment="1">
      <alignment horizontal="center"/>
    </xf>
    <xf numFmtId="3" fontId="16" fillId="48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3" fontId="27" fillId="0" borderId="13" xfId="0" applyNumberFormat="1" applyFont="1" applyBorder="1" applyAlignment="1">
      <alignment horizontal="center" textRotation="90"/>
    </xf>
    <xf numFmtId="3" fontId="12" fillId="50" borderId="9" xfId="0" applyNumberFormat="1" applyFont="1" applyFill="1" applyBorder="1" applyAlignment="1">
      <alignment horizontal="center" textRotation="90"/>
    </xf>
    <xf numFmtId="3" fontId="12" fillId="50" borderId="10" xfId="0" applyNumberFormat="1" applyFont="1" applyFill="1" applyBorder="1" applyAlignment="1">
      <alignment horizontal="center" textRotation="90"/>
    </xf>
    <xf numFmtId="3" fontId="12" fillId="51" borderId="10" xfId="0" applyNumberFormat="1" applyFont="1" applyFill="1" applyBorder="1" applyAlignment="1">
      <alignment horizontal="center" textRotation="90"/>
    </xf>
    <xf numFmtId="3" fontId="12" fillId="45" borderId="7" xfId="0" applyNumberFormat="1" applyFont="1" applyFill="1" applyBorder="1" applyAlignment="1">
      <alignment horizontal="center" textRotation="90"/>
    </xf>
    <xf numFmtId="3" fontId="12" fillId="45" borderId="0" xfId="0" applyNumberFormat="1" applyFont="1" applyFill="1" applyAlignment="1">
      <alignment horizontal="center" textRotation="90"/>
    </xf>
    <xf numFmtId="3" fontId="12" fillId="52" borderId="0" xfId="0" applyNumberFormat="1" applyFont="1" applyFill="1" applyAlignment="1">
      <alignment horizontal="center" textRotation="90" wrapText="1"/>
    </xf>
    <xf numFmtId="3" fontId="12" fillId="52" borderId="0" xfId="0" applyNumberFormat="1" applyFont="1" applyFill="1" applyAlignment="1">
      <alignment horizontal="center" textRotation="90"/>
    </xf>
    <xf numFmtId="3" fontId="12" fillId="46" borderId="9" xfId="0" applyNumberFormat="1" applyFont="1" applyFill="1" applyBorder="1" applyAlignment="1">
      <alignment horizontal="center" textRotation="90"/>
    </xf>
    <xf numFmtId="3" fontId="12" fillId="46" borderId="10" xfId="0" applyNumberFormat="1" applyFont="1" applyFill="1" applyBorder="1" applyAlignment="1">
      <alignment horizontal="center" textRotation="90"/>
    </xf>
    <xf numFmtId="3" fontId="12" fillId="53" borderId="10" xfId="0" applyNumberFormat="1" applyFont="1" applyFill="1" applyBorder="1" applyAlignment="1">
      <alignment horizontal="center" textRotation="90"/>
    </xf>
    <xf numFmtId="3" fontId="12" fillId="53" borderId="11" xfId="0" applyNumberFormat="1" applyFont="1" applyFill="1" applyBorder="1" applyAlignment="1">
      <alignment horizontal="center" textRotation="90"/>
    </xf>
    <xf numFmtId="3" fontId="12" fillId="47" borderId="10" xfId="0" applyNumberFormat="1" applyFont="1" applyFill="1" applyBorder="1" applyAlignment="1">
      <alignment horizontal="center" textRotation="90"/>
    </xf>
    <xf numFmtId="3" fontId="12" fillId="54" borderId="10" xfId="0" applyNumberFormat="1" applyFont="1" applyFill="1" applyBorder="1" applyAlignment="1">
      <alignment horizontal="center" textRotation="90" wrapText="1"/>
    </xf>
    <xf numFmtId="3" fontId="12" fillId="54" borderId="11" xfId="0" applyNumberFormat="1" applyFont="1" applyFill="1" applyBorder="1" applyAlignment="1">
      <alignment horizontal="center" textRotation="90" wrapText="1"/>
    </xf>
    <xf numFmtId="3" fontId="12" fillId="0" borderId="0" xfId="0" applyNumberFormat="1" applyFont="1" applyAlignment="1">
      <alignment horizontal="center" textRotation="90"/>
    </xf>
    <xf numFmtId="3" fontId="12" fillId="0" borderId="0" xfId="0" applyNumberFormat="1" applyFont="1" applyAlignment="1">
      <alignment horizontal="center" textRotation="90" wrapText="1"/>
    </xf>
    <xf numFmtId="3" fontId="27" fillId="37" borderId="7" xfId="0" applyNumberFormat="1" applyFont="1" applyFill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6" fillId="37" borderId="0" xfId="0" applyNumberFormat="1" applyFont="1" applyFill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18" xfId="0" applyNumberFormat="1" applyFont="1" applyBorder="1" applyAlignment="1">
      <alignment horizontal="center"/>
    </xf>
    <xf numFmtId="3" fontId="16" fillId="37" borderId="18" xfId="0" applyNumberFormat="1" applyFont="1" applyFill="1" applyBorder="1" applyAlignment="1">
      <alignment horizontal="center"/>
    </xf>
    <xf numFmtId="3" fontId="16" fillId="0" borderId="19" xfId="0" applyNumberFormat="1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3" fontId="16" fillId="37" borderId="20" xfId="0" applyNumberFormat="1" applyFont="1" applyFill="1" applyBorder="1" applyAlignment="1">
      <alignment horizontal="center"/>
    </xf>
    <xf numFmtId="3" fontId="16" fillId="0" borderId="21" xfId="0" applyNumberFormat="1" applyFont="1" applyBorder="1" applyAlignment="1">
      <alignment horizontal="center"/>
    </xf>
    <xf numFmtId="3" fontId="27" fillId="37" borderId="9" xfId="0" applyNumberFormat="1" applyFont="1" applyFill="1" applyBorder="1" applyAlignment="1">
      <alignment horizontal="center"/>
    </xf>
    <xf numFmtId="3" fontId="29" fillId="0" borderId="0" xfId="0" applyNumberFormat="1" applyFont="1"/>
    <xf numFmtId="3" fontId="22" fillId="0" borderId="0" xfId="0" applyNumberFormat="1" applyFont="1" applyAlignment="1">
      <alignment horizontal="left"/>
    </xf>
    <xf numFmtId="3" fontId="20" fillId="13" borderId="14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13" fillId="49" borderId="4" xfId="0" applyNumberFormat="1" applyFont="1" applyFill="1" applyBorder="1" applyAlignment="1">
      <alignment horizontal="center"/>
    </xf>
    <xf numFmtId="3" fontId="13" fillId="49" borderId="1" xfId="0" applyNumberFormat="1" applyFont="1" applyFill="1" applyBorder="1" applyAlignment="1">
      <alignment horizontal="center"/>
    </xf>
    <xf numFmtId="3" fontId="13" fillId="49" borderId="3" xfId="0" applyNumberFormat="1" applyFont="1" applyFill="1" applyBorder="1" applyAlignment="1">
      <alignment horizontal="center"/>
    </xf>
    <xf numFmtId="3" fontId="13" fillId="49" borderId="2" xfId="0" applyNumberFormat="1" applyFont="1" applyFill="1" applyBorder="1" applyAlignment="1">
      <alignment horizontal="center"/>
    </xf>
    <xf numFmtId="3" fontId="13" fillId="48" borderId="4" xfId="0" applyNumberFormat="1" applyFont="1" applyFill="1" applyBorder="1" applyAlignment="1">
      <alignment horizontal="center"/>
    </xf>
    <xf numFmtId="3" fontId="13" fillId="48" borderId="14" xfId="0" applyNumberFormat="1" applyFont="1" applyFill="1" applyBorder="1" applyAlignment="1">
      <alignment horizontal="center"/>
    </xf>
    <xf numFmtId="3" fontId="13" fillId="48" borderId="16" xfId="0" applyNumberFormat="1" applyFont="1" applyFill="1" applyBorder="1" applyAlignment="1">
      <alignment horizontal="center"/>
    </xf>
    <xf numFmtId="3" fontId="13" fillId="48" borderId="15" xfId="0" applyNumberFormat="1" applyFont="1" applyFill="1" applyBorder="1" applyAlignment="1">
      <alignment horizontal="center"/>
    </xf>
    <xf numFmtId="3" fontId="13" fillId="18" borderId="4" xfId="0" applyNumberFormat="1" applyFont="1" applyFill="1" applyBorder="1" applyAlignment="1">
      <alignment horizontal="center"/>
    </xf>
    <xf numFmtId="3" fontId="13" fillId="18" borderId="3" xfId="0" applyNumberFormat="1" applyFont="1" applyFill="1" applyBorder="1" applyAlignment="1">
      <alignment horizontal="center"/>
    </xf>
    <xf numFmtId="3" fontId="13" fillId="18" borderId="2" xfId="0" applyNumberFormat="1" applyFont="1" applyFill="1" applyBorder="1" applyAlignment="1">
      <alignment horizontal="center"/>
    </xf>
    <xf numFmtId="3" fontId="14" fillId="29" borderId="4" xfId="0" applyNumberFormat="1" applyFont="1" applyFill="1" applyBorder="1" applyAlignment="1">
      <alignment horizontal="center"/>
    </xf>
    <xf numFmtId="3" fontId="14" fillId="49" borderId="14" xfId="0" applyNumberFormat="1" applyFont="1" applyFill="1" applyBorder="1" applyAlignment="1">
      <alignment horizontal="center"/>
    </xf>
    <xf numFmtId="3" fontId="14" fillId="49" borderId="16" xfId="0" applyNumberFormat="1" applyFont="1" applyFill="1" applyBorder="1" applyAlignment="1">
      <alignment horizontal="center"/>
    </xf>
    <xf numFmtId="3" fontId="14" fillId="49" borderId="15" xfId="0" applyNumberFormat="1" applyFont="1" applyFill="1" applyBorder="1" applyAlignment="1">
      <alignment horizontal="center"/>
    </xf>
    <xf numFmtId="3" fontId="14" fillId="48" borderId="14" xfId="0" applyNumberFormat="1" applyFont="1" applyFill="1" applyBorder="1" applyAlignment="1">
      <alignment horizontal="center"/>
    </xf>
    <xf numFmtId="3" fontId="14" fillId="48" borderId="16" xfId="0" applyNumberFormat="1" applyFont="1" applyFill="1" applyBorder="1" applyAlignment="1">
      <alignment horizontal="center"/>
    </xf>
    <xf numFmtId="3" fontId="14" fillId="48" borderId="15" xfId="0" applyNumberFormat="1" applyFont="1" applyFill="1" applyBorder="1" applyAlignment="1">
      <alignment horizontal="center"/>
    </xf>
    <xf numFmtId="3" fontId="14" fillId="18" borderId="3" xfId="0" applyNumberFormat="1" applyFont="1" applyFill="1" applyBorder="1" applyAlignment="1">
      <alignment horizontal="center"/>
    </xf>
    <xf numFmtId="3" fontId="14" fillId="18" borderId="15" xfId="0" applyNumberFormat="1" applyFont="1" applyFill="1" applyBorder="1" applyAlignment="1">
      <alignment horizontal="center"/>
    </xf>
    <xf numFmtId="3" fontId="13" fillId="0" borderId="7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25" borderId="7" xfId="0" applyNumberFormat="1" applyFont="1" applyFill="1" applyBorder="1" applyAlignment="1">
      <alignment horizontal="center"/>
    </xf>
    <xf numFmtId="3" fontId="7" fillId="25" borderId="0" xfId="0" applyNumberFormat="1" applyFont="1" applyFill="1" applyAlignment="1">
      <alignment horizontal="center"/>
    </xf>
    <xf numFmtId="3" fontId="7" fillId="25" borderId="8" xfId="0" applyNumberFormat="1" applyFont="1" applyFill="1" applyBorder="1" applyAlignment="1">
      <alignment horizontal="center"/>
    </xf>
    <xf numFmtId="3" fontId="14" fillId="56" borderId="9" xfId="0" applyNumberFormat="1" applyFont="1" applyFill="1" applyBorder="1" applyAlignment="1">
      <alignment horizontal="center"/>
    </xf>
    <xf numFmtId="3" fontId="7" fillId="56" borderId="9" xfId="0" applyNumberFormat="1" applyFont="1" applyFill="1" applyBorder="1" applyAlignment="1">
      <alignment horizontal="center"/>
    </xf>
    <xf numFmtId="3" fontId="7" fillId="56" borderId="10" xfId="0" applyNumberFormat="1" applyFont="1" applyFill="1" applyBorder="1" applyAlignment="1">
      <alignment horizontal="center"/>
    </xf>
    <xf numFmtId="3" fontId="7" fillId="56" borderId="11" xfId="0" applyNumberFormat="1" applyFont="1" applyFill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3" fontId="14" fillId="0" borderId="16" xfId="0" applyNumberFormat="1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4" fillId="0" borderId="8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3" fontId="14" fillId="0" borderId="11" xfId="0" applyNumberFormat="1" applyFont="1" applyBorder="1" applyAlignment="1">
      <alignment horizontal="center"/>
    </xf>
    <xf numFmtId="3" fontId="13" fillId="47" borderId="7" xfId="0" applyNumberFormat="1" applyFont="1" applyFill="1" applyBorder="1" applyAlignment="1">
      <alignment horizontal="center"/>
    </xf>
    <xf numFmtId="3" fontId="16" fillId="47" borderId="7" xfId="0" applyNumberFormat="1" applyFont="1" applyFill="1" applyBorder="1" applyAlignment="1">
      <alignment horizontal="center"/>
    </xf>
    <xf numFmtId="3" fontId="16" fillId="47" borderId="0" xfId="0" applyNumberFormat="1" applyFont="1" applyFill="1" applyAlignment="1">
      <alignment horizontal="center"/>
    </xf>
    <xf numFmtId="3" fontId="16" fillId="47" borderId="8" xfId="0" applyNumberFormat="1" applyFont="1" applyFill="1" applyBorder="1" applyAlignment="1">
      <alignment horizontal="center"/>
    </xf>
    <xf numFmtId="3" fontId="13" fillId="47" borderId="12" xfId="0" applyNumberFormat="1" applyFont="1" applyFill="1" applyBorder="1" applyAlignment="1">
      <alignment horizontal="center"/>
    </xf>
    <xf numFmtId="3" fontId="13" fillId="54" borderId="7" xfId="0" applyNumberFormat="1" applyFont="1" applyFill="1" applyBorder="1" applyAlignment="1">
      <alignment horizontal="center"/>
    </xf>
    <xf numFmtId="3" fontId="16" fillId="54" borderId="7" xfId="0" applyNumberFormat="1" applyFont="1" applyFill="1" applyBorder="1" applyAlignment="1">
      <alignment horizontal="center"/>
    </xf>
    <xf numFmtId="3" fontId="16" fillId="54" borderId="0" xfId="0" applyNumberFormat="1" applyFont="1" applyFill="1" applyAlignment="1">
      <alignment horizontal="center"/>
    </xf>
    <xf numFmtId="3" fontId="16" fillId="54" borderId="8" xfId="0" applyNumberFormat="1" applyFont="1" applyFill="1" applyBorder="1" applyAlignment="1">
      <alignment horizontal="center"/>
    </xf>
    <xf numFmtId="3" fontId="13" fillId="54" borderId="12" xfId="0" applyNumberFormat="1" applyFont="1" applyFill="1" applyBorder="1" applyAlignment="1">
      <alignment horizontal="center"/>
    </xf>
    <xf numFmtId="3" fontId="13" fillId="45" borderId="7" xfId="0" applyNumberFormat="1" applyFont="1" applyFill="1" applyBorder="1" applyAlignment="1">
      <alignment horizontal="center"/>
    </xf>
    <xf numFmtId="3" fontId="16" fillId="45" borderId="7" xfId="0" applyNumberFormat="1" applyFont="1" applyFill="1" applyBorder="1" applyAlignment="1">
      <alignment horizontal="center"/>
    </xf>
    <xf numFmtId="3" fontId="16" fillId="45" borderId="0" xfId="0" applyNumberFormat="1" applyFont="1" applyFill="1" applyAlignment="1">
      <alignment horizontal="center"/>
    </xf>
    <xf numFmtId="3" fontId="16" fillId="45" borderId="8" xfId="0" applyNumberFormat="1" applyFont="1" applyFill="1" applyBorder="1" applyAlignment="1">
      <alignment horizontal="center"/>
    </xf>
    <xf numFmtId="3" fontId="13" fillId="45" borderId="12" xfId="0" applyNumberFormat="1" applyFont="1" applyFill="1" applyBorder="1" applyAlignment="1">
      <alignment horizontal="center"/>
    </xf>
    <xf numFmtId="3" fontId="13" fillId="52" borderId="7" xfId="0" applyNumberFormat="1" applyFont="1" applyFill="1" applyBorder="1" applyAlignment="1">
      <alignment horizontal="center"/>
    </xf>
    <xf numFmtId="3" fontId="16" fillId="52" borderId="7" xfId="0" applyNumberFormat="1" applyFont="1" applyFill="1" applyBorder="1" applyAlignment="1">
      <alignment horizontal="center"/>
    </xf>
    <xf numFmtId="3" fontId="16" fillId="52" borderId="0" xfId="0" applyNumberFormat="1" applyFont="1" applyFill="1" applyAlignment="1">
      <alignment horizontal="center"/>
    </xf>
    <xf numFmtId="3" fontId="16" fillId="52" borderId="8" xfId="0" applyNumberFormat="1" applyFont="1" applyFill="1" applyBorder="1" applyAlignment="1">
      <alignment horizontal="center"/>
    </xf>
    <xf numFmtId="3" fontId="13" fillId="52" borderId="12" xfId="0" applyNumberFormat="1" applyFont="1" applyFill="1" applyBorder="1" applyAlignment="1">
      <alignment horizontal="center"/>
    </xf>
    <xf numFmtId="3" fontId="13" fillId="48" borderId="7" xfId="0" applyNumberFormat="1" applyFont="1" applyFill="1" applyBorder="1" applyAlignment="1">
      <alignment horizontal="center"/>
    </xf>
    <xf numFmtId="3" fontId="16" fillId="48" borderId="8" xfId="0" applyNumberFormat="1" applyFont="1" applyFill="1" applyBorder="1" applyAlignment="1">
      <alignment horizontal="center"/>
    </xf>
    <xf numFmtId="3" fontId="13" fillId="48" borderId="12" xfId="0" applyNumberFormat="1" applyFont="1" applyFill="1" applyBorder="1" applyAlignment="1">
      <alignment horizontal="center"/>
    </xf>
    <xf numFmtId="3" fontId="20" fillId="41" borderId="7" xfId="0" applyNumberFormat="1" applyFont="1" applyFill="1" applyBorder="1" applyAlignment="1">
      <alignment horizontal="center"/>
    </xf>
    <xf numFmtId="3" fontId="11" fillId="41" borderId="7" xfId="0" applyNumberFormat="1" applyFont="1" applyFill="1" applyBorder="1" applyAlignment="1">
      <alignment horizontal="center"/>
    </xf>
    <xf numFmtId="3" fontId="11" fillId="41" borderId="0" xfId="0" applyNumberFormat="1" applyFont="1" applyFill="1" applyAlignment="1">
      <alignment horizontal="center"/>
    </xf>
    <xf numFmtId="3" fontId="11" fillId="41" borderId="8" xfId="0" applyNumberFormat="1" applyFont="1" applyFill="1" applyBorder="1" applyAlignment="1">
      <alignment horizontal="center"/>
    </xf>
    <xf numFmtId="3" fontId="20" fillId="41" borderId="12" xfId="0" applyNumberFormat="1" applyFont="1" applyFill="1" applyBorder="1" applyAlignment="1">
      <alignment horizontal="center"/>
    </xf>
    <xf numFmtId="3" fontId="20" fillId="41" borderId="9" xfId="0" applyNumberFormat="1" applyFont="1" applyFill="1" applyBorder="1" applyAlignment="1">
      <alignment horizontal="center"/>
    </xf>
    <xf numFmtId="3" fontId="11" fillId="41" borderId="9" xfId="0" applyNumberFormat="1" applyFont="1" applyFill="1" applyBorder="1" applyAlignment="1">
      <alignment horizontal="center"/>
    </xf>
    <xf numFmtId="3" fontId="11" fillId="41" borderId="10" xfId="0" applyNumberFormat="1" applyFont="1" applyFill="1" applyBorder="1" applyAlignment="1">
      <alignment horizontal="center"/>
    </xf>
    <xf numFmtId="3" fontId="11" fillId="41" borderId="11" xfId="0" applyNumberFormat="1" applyFont="1" applyFill="1" applyBorder="1" applyAlignment="1">
      <alignment horizontal="center"/>
    </xf>
    <xf numFmtId="3" fontId="20" fillId="41" borderId="13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3" fontId="20" fillId="57" borderId="1" xfId="0" applyNumberFormat="1" applyFont="1" applyFill="1" applyBorder="1" applyAlignment="1">
      <alignment horizontal="center" vertical="center" wrapText="1"/>
    </xf>
    <xf numFmtId="3" fontId="20" fillId="57" borderId="3" xfId="0" applyNumberFormat="1" applyFont="1" applyFill="1" applyBorder="1" applyAlignment="1">
      <alignment horizontal="center" vertical="center" wrapText="1"/>
    </xf>
    <xf numFmtId="3" fontId="13" fillId="58" borderId="3" xfId="0" applyNumberFormat="1" applyFont="1" applyFill="1" applyBorder="1" applyAlignment="1">
      <alignment horizontal="center" vertical="center" wrapText="1"/>
    </xf>
    <xf numFmtId="3" fontId="13" fillId="59" borderId="3" xfId="0" applyNumberFormat="1" applyFont="1" applyFill="1" applyBorder="1" applyAlignment="1">
      <alignment horizontal="center" vertical="center" wrapText="1"/>
    </xf>
    <xf numFmtId="3" fontId="13" fillId="60" borderId="3" xfId="0" applyNumberFormat="1" applyFont="1" applyFill="1" applyBorder="1" applyAlignment="1">
      <alignment horizontal="center" vertical="center" wrapText="1"/>
    </xf>
    <xf numFmtId="3" fontId="13" fillId="61" borderId="3" xfId="0" applyNumberFormat="1" applyFont="1" applyFill="1" applyBorder="1" applyAlignment="1">
      <alignment horizontal="center" vertical="center" wrapText="1"/>
    </xf>
    <xf numFmtId="3" fontId="13" fillId="61" borderId="2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20" fillId="42" borderId="1" xfId="0" applyNumberFormat="1" applyFont="1" applyFill="1" applyBorder="1" applyAlignment="1">
      <alignment horizontal="center" vertical="center" wrapText="1"/>
    </xf>
    <xf numFmtId="3" fontId="20" fillId="42" borderId="4" xfId="0" applyNumberFormat="1" applyFont="1" applyFill="1" applyBorder="1" applyAlignment="1">
      <alignment horizontal="center" vertical="center" wrapText="1"/>
    </xf>
    <xf numFmtId="3" fontId="14" fillId="62" borderId="4" xfId="0" applyNumberFormat="1" applyFont="1" applyFill="1" applyBorder="1" applyAlignment="1">
      <alignment horizontal="center" vertical="center" wrapText="1"/>
    </xf>
    <xf numFmtId="3" fontId="14" fillId="62" borderId="2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16" fillId="63" borderId="7" xfId="0" applyNumberFormat="1" applyFont="1" applyFill="1" applyBorder="1" applyAlignment="1">
      <alignment horizontal="center" vertical="center"/>
    </xf>
    <xf numFmtId="3" fontId="16" fillId="63" borderId="0" xfId="0" applyNumberFormat="1" applyFont="1" applyFill="1" applyAlignment="1">
      <alignment horizontal="center" vertical="center"/>
    </xf>
    <xf numFmtId="3" fontId="13" fillId="64" borderId="0" xfId="0" applyNumberFormat="1" applyFont="1" applyFill="1" applyAlignment="1">
      <alignment horizontal="center" vertical="center"/>
    </xf>
    <xf numFmtId="3" fontId="13" fillId="65" borderId="0" xfId="0" applyNumberFormat="1" applyFont="1" applyFill="1" applyAlignment="1">
      <alignment horizontal="center" vertical="center"/>
    </xf>
    <xf numFmtId="3" fontId="7" fillId="21" borderId="7" xfId="0" applyNumberFormat="1" applyFont="1" applyFill="1" applyBorder="1" applyAlignment="1">
      <alignment horizontal="center"/>
    </xf>
    <xf numFmtId="3" fontId="8" fillId="65" borderId="5" xfId="0" applyNumberFormat="1" applyFont="1" applyFill="1" applyBorder="1"/>
    <xf numFmtId="3" fontId="13" fillId="64" borderId="7" xfId="0" applyNumberFormat="1" applyFont="1" applyFill="1" applyBorder="1" applyAlignment="1">
      <alignment horizontal="center" vertical="center"/>
    </xf>
    <xf numFmtId="3" fontId="7" fillId="65" borderId="12" xfId="0" applyNumberFormat="1" applyFont="1" applyFill="1" applyBorder="1" applyAlignment="1">
      <alignment horizontal="center"/>
    </xf>
    <xf numFmtId="3" fontId="7" fillId="21" borderId="9" xfId="0" applyNumberFormat="1" applyFont="1" applyFill="1" applyBorder="1" applyAlignment="1">
      <alignment horizontal="center"/>
    </xf>
    <xf numFmtId="3" fontId="7" fillId="65" borderId="13" xfId="0" applyNumberFormat="1" applyFont="1" applyFill="1" applyBorder="1" applyAlignment="1">
      <alignment horizontal="center"/>
    </xf>
    <xf numFmtId="3" fontId="13" fillId="65" borderId="7" xfId="0" applyNumberFormat="1" applyFont="1" applyFill="1" applyBorder="1" applyAlignment="1">
      <alignment horizontal="center" vertical="center"/>
    </xf>
    <xf numFmtId="3" fontId="16" fillId="63" borderId="8" xfId="0" applyNumberFormat="1" applyFont="1" applyFill="1" applyBorder="1" applyAlignment="1">
      <alignment horizontal="center" vertical="center"/>
    </xf>
    <xf numFmtId="3" fontId="13" fillId="65" borderId="9" xfId="0" applyNumberFormat="1" applyFont="1" applyFill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3" fontId="13" fillId="64" borderId="10" xfId="0" applyNumberFormat="1" applyFont="1" applyFill="1" applyBorder="1" applyAlignment="1">
      <alignment horizontal="center" vertical="center"/>
    </xf>
    <xf numFmtId="3" fontId="13" fillId="65" borderId="10" xfId="0" applyNumberFormat="1" applyFont="1" applyFill="1" applyBorder="1" applyAlignment="1">
      <alignment horizontal="center" vertical="center"/>
    </xf>
    <xf numFmtId="3" fontId="16" fillId="63" borderId="10" xfId="0" applyNumberFormat="1" applyFont="1" applyFill="1" applyBorder="1" applyAlignment="1">
      <alignment horizontal="center" vertical="center"/>
    </xf>
    <xf numFmtId="3" fontId="16" fillId="63" borderId="11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left"/>
    </xf>
    <xf numFmtId="3" fontId="20" fillId="4" borderId="14" xfId="0" applyNumberFormat="1" applyFont="1" applyFill="1" applyBorder="1" applyAlignment="1">
      <alignment horizontal="center"/>
    </xf>
    <xf numFmtId="3" fontId="20" fillId="4" borderId="15" xfId="0" applyNumberFormat="1" applyFont="1" applyFill="1" applyBorder="1" applyAlignment="1">
      <alignment horizontal="center"/>
    </xf>
    <xf numFmtId="3" fontId="16" fillId="0" borderId="14" xfId="0" applyNumberFormat="1" applyFont="1" applyBorder="1" applyAlignment="1">
      <alignment horizontal="center"/>
    </xf>
    <xf numFmtId="3" fontId="16" fillId="37" borderId="16" xfId="0" applyNumberFormat="1" applyFont="1" applyFill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15" xfId="0" applyNumberFormat="1" applyFont="1" applyBorder="1" applyAlignment="1">
      <alignment horizontal="center"/>
    </xf>
    <xf numFmtId="3" fontId="16" fillId="63" borderId="7" xfId="0" applyNumberFormat="1" applyFont="1" applyFill="1" applyBorder="1" applyAlignment="1">
      <alignment horizontal="center"/>
    </xf>
    <xf numFmtId="3" fontId="16" fillId="63" borderId="0" xfId="0" applyNumberFormat="1" applyFont="1" applyFill="1" applyAlignment="1">
      <alignment horizontal="center"/>
    </xf>
    <xf numFmtId="3" fontId="16" fillId="63" borderId="8" xfId="0" applyNumberFormat="1" applyFont="1" applyFill="1" applyBorder="1" applyAlignment="1">
      <alignment horizontal="center"/>
    </xf>
    <xf numFmtId="3" fontId="16" fillId="63" borderId="9" xfId="0" applyNumberFormat="1" applyFont="1" applyFill="1" applyBorder="1" applyAlignment="1">
      <alignment horizontal="center"/>
    </xf>
    <xf numFmtId="3" fontId="16" fillId="63" borderId="10" xfId="0" applyNumberFormat="1" applyFont="1" applyFill="1" applyBorder="1" applyAlignment="1">
      <alignment horizontal="center"/>
    </xf>
    <xf numFmtId="3" fontId="16" fillId="37" borderId="10" xfId="0" applyNumberFormat="1" applyFont="1" applyFill="1" applyBorder="1" applyAlignment="1">
      <alignment horizontal="center"/>
    </xf>
    <xf numFmtId="3" fontId="16" fillId="63" borderId="11" xfId="0" applyNumberFormat="1" applyFont="1" applyFill="1" applyBorder="1" applyAlignment="1">
      <alignment horizontal="center"/>
    </xf>
    <xf numFmtId="3" fontId="30" fillId="66" borderId="4" xfId="0" applyNumberFormat="1" applyFont="1" applyFill="1" applyBorder="1" applyAlignment="1">
      <alignment horizontal="center"/>
    </xf>
    <xf numFmtId="3" fontId="13" fillId="66" borderId="9" xfId="0" applyNumberFormat="1" applyFont="1" applyFill="1" applyBorder="1" applyAlignment="1">
      <alignment horizontal="center"/>
    </xf>
    <xf numFmtId="3" fontId="13" fillId="66" borderId="10" xfId="0" applyNumberFormat="1" applyFont="1" applyFill="1" applyBorder="1" applyAlignment="1">
      <alignment horizontal="center"/>
    </xf>
    <xf numFmtId="3" fontId="13" fillId="66" borderId="11" xfId="0" applyNumberFormat="1" applyFont="1" applyFill="1" applyBorder="1" applyAlignment="1">
      <alignment horizontal="center"/>
    </xf>
    <xf numFmtId="3" fontId="20" fillId="67" borderId="14" xfId="0" applyNumberFormat="1" applyFont="1" applyFill="1" applyBorder="1" applyAlignment="1">
      <alignment horizontal="center" wrapText="1"/>
    </xf>
    <xf numFmtId="3" fontId="20" fillId="67" borderId="16" xfId="0" applyNumberFormat="1" applyFont="1" applyFill="1" applyBorder="1" applyAlignment="1">
      <alignment horizontal="center" wrapText="1"/>
    </xf>
    <xf numFmtId="3" fontId="20" fillId="67" borderId="15" xfId="0" applyNumberFormat="1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3" fontId="8" fillId="63" borderId="0" xfId="0" applyNumberFormat="1" applyFont="1" applyFill="1"/>
    <xf numFmtId="3" fontId="8" fillId="63" borderId="8" xfId="0" applyNumberFormat="1" applyFont="1" applyFill="1" applyBorder="1"/>
    <xf numFmtId="3" fontId="14" fillId="0" borderId="13" xfId="0" applyNumberFormat="1" applyFont="1" applyBorder="1" applyAlignment="1">
      <alignment horizontal="center"/>
    </xf>
    <xf numFmtId="3" fontId="14" fillId="68" borderId="1" xfId="0" applyNumberFormat="1" applyFont="1" applyFill="1" applyBorder="1" applyAlignment="1">
      <alignment horizontal="center"/>
    </xf>
    <xf numFmtId="3" fontId="14" fillId="68" borderId="3" xfId="0" applyNumberFormat="1" applyFont="1" applyFill="1" applyBorder="1" applyAlignment="1">
      <alignment horizontal="center"/>
    </xf>
    <xf numFmtId="3" fontId="14" fillId="68" borderId="2" xfId="0" applyNumberFormat="1" applyFont="1" applyFill="1" applyBorder="1" applyAlignment="1">
      <alignment horizontal="center"/>
    </xf>
    <xf numFmtId="3" fontId="20" fillId="69" borderId="14" xfId="0" applyNumberFormat="1" applyFont="1" applyFill="1" applyBorder="1" applyAlignment="1">
      <alignment horizontal="center" wrapText="1"/>
    </xf>
    <xf numFmtId="3" fontId="20" fillId="69" borderId="16" xfId="0" applyNumberFormat="1" applyFont="1" applyFill="1" applyBorder="1" applyAlignment="1">
      <alignment horizontal="center" wrapText="1"/>
    </xf>
    <xf numFmtId="3" fontId="20" fillId="69" borderId="15" xfId="0" applyNumberFormat="1" applyFont="1" applyFill="1" applyBorder="1" applyAlignment="1">
      <alignment horizontal="center" wrapText="1"/>
    </xf>
    <xf numFmtId="3" fontId="23" fillId="0" borderId="0" xfId="0" applyNumberFormat="1" applyFont="1" applyAlignment="1">
      <alignment horizontal="center"/>
    </xf>
    <xf numFmtId="3" fontId="13" fillId="54" borderId="14" xfId="0" applyNumberFormat="1" applyFont="1" applyFill="1" applyBorder="1" applyAlignment="1">
      <alignment horizontal="center"/>
    </xf>
    <xf numFmtId="3" fontId="13" fillId="54" borderId="15" xfId="0" applyNumberFormat="1" applyFont="1" applyFill="1" applyBorder="1" applyAlignment="1">
      <alignment horizontal="center"/>
    </xf>
    <xf numFmtId="3" fontId="13" fillId="70" borderId="14" xfId="0" applyNumberFormat="1" applyFont="1" applyFill="1" applyBorder="1" applyAlignment="1">
      <alignment horizontal="center"/>
    </xf>
    <xf numFmtId="3" fontId="13" fillId="70" borderId="15" xfId="0" applyNumberFormat="1" applyFont="1" applyFill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0" fontId="14" fillId="0" borderId="0" xfId="0" applyFont="1"/>
    <xf numFmtId="3" fontId="8" fillId="40" borderId="0" xfId="0" applyNumberFormat="1" applyFont="1" applyFill="1"/>
    <xf numFmtId="3" fontId="8" fillId="2" borderId="0" xfId="0" applyNumberFormat="1" applyFont="1" applyFill="1"/>
    <xf numFmtId="3" fontId="16" fillId="0" borderId="0" xfId="0" applyNumberFormat="1" applyFont="1" applyAlignment="1">
      <alignment horizontal="left"/>
    </xf>
    <xf numFmtId="3" fontId="20" fillId="13" borderId="0" xfId="0" applyNumberFormat="1" applyFont="1" applyFill="1" applyAlignment="1">
      <alignment horizontal="center" vertical="center"/>
    </xf>
    <xf numFmtId="3" fontId="14" fillId="22" borderId="0" xfId="0" applyNumberFormat="1" applyFont="1" applyFill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3" fontId="14" fillId="38" borderId="0" xfId="0" applyNumberFormat="1" applyFont="1" applyFill="1" applyAlignment="1">
      <alignment horizontal="center" vertical="center"/>
    </xf>
    <xf numFmtId="3" fontId="14" fillId="39" borderId="0" xfId="0" applyNumberFormat="1" applyFont="1" applyFill="1" applyAlignment="1">
      <alignment horizontal="center" vertical="center" wrapText="1"/>
    </xf>
    <xf numFmtId="0" fontId="7" fillId="71" borderId="0" xfId="0" applyFont="1" applyFill="1" applyAlignment="1">
      <alignment horizontal="center"/>
    </xf>
    <xf numFmtId="0" fontId="14" fillId="71" borderId="0" xfId="0" applyFont="1" applyFill="1" applyAlignment="1">
      <alignment horizontal="center"/>
    </xf>
    <xf numFmtId="3" fontId="27" fillId="0" borderId="13" xfId="0" applyNumberFormat="1" applyFont="1" applyBorder="1" applyAlignment="1">
      <alignment horizontal="center"/>
    </xf>
    <xf numFmtId="3" fontId="12" fillId="50" borderId="9" xfId="0" applyNumberFormat="1" applyFont="1" applyFill="1" applyBorder="1" applyAlignment="1">
      <alignment horizontal="center"/>
    </xf>
    <xf numFmtId="3" fontId="12" fillId="50" borderId="10" xfId="0" applyNumberFormat="1" applyFont="1" applyFill="1" applyBorder="1" applyAlignment="1">
      <alignment horizontal="center"/>
    </xf>
    <xf numFmtId="3" fontId="12" fillId="51" borderId="10" xfId="0" applyNumberFormat="1" applyFont="1" applyFill="1" applyBorder="1" applyAlignment="1">
      <alignment horizontal="center"/>
    </xf>
    <xf numFmtId="3" fontId="12" fillId="51" borderId="11" xfId="0" applyNumberFormat="1" applyFont="1" applyFill="1" applyBorder="1" applyAlignment="1">
      <alignment horizontal="center"/>
    </xf>
    <xf numFmtId="3" fontId="12" fillId="45" borderId="9" xfId="0" applyNumberFormat="1" applyFont="1" applyFill="1" applyBorder="1" applyAlignment="1">
      <alignment horizontal="center"/>
    </xf>
    <xf numFmtId="3" fontId="12" fillId="45" borderId="10" xfId="0" applyNumberFormat="1" applyFont="1" applyFill="1" applyBorder="1" applyAlignment="1">
      <alignment horizontal="center"/>
    </xf>
    <xf numFmtId="3" fontId="12" fillId="52" borderId="10" xfId="0" applyNumberFormat="1" applyFont="1" applyFill="1" applyBorder="1" applyAlignment="1">
      <alignment horizontal="center"/>
    </xf>
    <xf numFmtId="3" fontId="12" fillId="52" borderId="11" xfId="0" applyNumberFormat="1" applyFont="1" applyFill="1" applyBorder="1" applyAlignment="1">
      <alignment horizontal="center"/>
    </xf>
    <xf numFmtId="3" fontId="12" fillId="47" borderId="10" xfId="0" applyNumberFormat="1" applyFont="1" applyFill="1" applyBorder="1" applyAlignment="1">
      <alignment horizontal="center"/>
    </xf>
    <xf numFmtId="3" fontId="12" fillId="54" borderId="10" xfId="0" applyNumberFormat="1" applyFont="1" applyFill="1" applyBorder="1" applyAlignment="1">
      <alignment horizontal="center"/>
    </xf>
    <xf numFmtId="3" fontId="12" fillId="54" borderId="11" xfId="0" applyNumberFormat="1" applyFont="1" applyFill="1" applyBorder="1" applyAlignment="1">
      <alignment horizontal="center"/>
    </xf>
    <xf numFmtId="3" fontId="12" fillId="46" borderId="9" xfId="0" applyNumberFormat="1" applyFont="1" applyFill="1" applyBorder="1" applyAlignment="1">
      <alignment horizontal="center"/>
    </xf>
    <xf numFmtId="3" fontId="12" fillId="46" borderId="10" xfId="0" applyNumberFormat="1" applyFont="1" applyFill="1" applyBorder="1" applyAlignment="1">
      <alignment horizontal="center"/>
    </xf>
    <xf numFmtId="3" fontId="12" fillId="53" borderId="10" xfId="0" applyNumberFormat="1" applyFont="1" applyFill="1" applyBorder="1" applyAlignment="1">
      <alignment horizontal="center"/>
    </xf>
    <xf numFmtId="3" fontId="12" fillId="53" borderId="11" xfId="0" applyNumberFormat="1" applyFont="1" applyFill="1" applyBorder="1" applyAlignment="1">
      <alignment horizontal="center"/>
    </xf>
    <xf numFmtId="3" fontId="27" fillId="2" borderId="13" xfId="0" applyNumberFormat="1" applyFont="1" applyFill="1" applyBorder="1" applyAlignment="1">
      <alignment horizontal="center"/>
    </xf>
    <xf numFmtId="3" fontId="13" fillId="29" borderId="0" xfId="0" applyNumberFormat="1" applyFont="1" applyFill="1" applyAlignment="1">
      <alignment horizontal="center"/>
    </xf>
    <xf numFmtId="3" fontId="13" fillId="48" borderId="0" xfId="0" applyNumberFormat="1" applyFont="1" applyFill="1" applyAlignment="1">
      <alignment horizontal="center"/>
    </xf>
    <xf numFmtId="3" fontId="13" fillId="72" borderId="0" xfId="0" applyNumberFormat="1" applyFont="1" applyFill="1" applyAlignment="1">
      <alignment horizontal="center"/>
    </xf>
    <xf numFmtId="3" fontId="13" fillId="21" borderId="0" xfId="0" applyNumberFormat="1" applyFont="1" applyFill="1" applyAlignment="1">
      <alignment horizontal="center"/>
    </xf>
    <xf numFmtId="3" fontId="14" fillId="2" borderId="0" xfId="0" applyNumberFormat="1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7" fillId="56" borderId="0" xfId="0" applyNumberFormat="1" applyFont="1" applyFill="1" applyAlignment="1">
      <alignment horizontal="center" vertical="center"/>
    </xf>
    <xf numFmtId="3" fontId="27" fillId="0" borderId="7" xfId="0" applyNumberFormat="1" applyFont="1" applyBorder="1" applyAlignment="1">
      <alignment horizontal="center"/>
    </xf>
    <xf numFmtId="3" fontId="27" fillId="2" borderId="7" xfId="0" applyNumberFormat="1" applyFont="1" applyFill="1" applyBorder="1" applyAlignment="1">
      <alignment horizontal="center"/>
    </xf>
    <xf numFmtId="3" fontId="13" fillId="25" borderId="7" xfId="0" applyNumberFormat="1" applyFont="1" applyFill="1" applyBorder="1" applyAlignment="1">
      <alignment horizontal="center"/>
    </xf>
    <xf numFmtId="3" fontId="14" fillId="7" borderId="0" xfId="0" applyNumberFormat="1" applyFont="1" applyFill="1" applyAlignment="1">
      <alignment horizontal="center" vertical="center"/>
    </xf>
    <xf numFmtId="3" fontId="14" fillId="32" borderId="0" xfId="0" applyNumberFormat="1" applyFont="1" applyFill="1" applyAlignment="1">
      <alignment horizontal="center"/>
    </xf>
    <xf numFmtId="3" fontId="16" fillId="7" borderId="7" xfId="0" applyNumberFormat="1" applyFont="1" applyFill="1" applyBorder="1" applyAlignment="1">
      <alignment horizontal="center"/>
    </xf>
    <xf numFmtId="3" fontId="16" fillId="7" borderId="0" xfId="0" applyNumberFormat="1" applyFont="1" applyFill="1" applyAlignment="1">
      <alignment horizontal="center"/>
    </xf>
    <xf numFmtId="3" fontId="16" fillId="7" borderId="8" xfId="0" applyNumberFormat="1" applyFont="1" applyFill="1" applyBorder="1" applyAlignment="1">
      <alignment horizontal="center"/>
    </xf>
    <xf numFmtId="3" fontId="14" fillId="33" borderId="0" xfId="0" applyNumberFormat="1" applyFont="1" applyFill="1" applyAlignment="1">
      <alignment horizontal="center"/>
    </xf>
    <xf numFmtId="3" fontId="16" fillId="35" borderId="0" xfId="0" applyNumberFormat="1" applyFont="1" applyFill="1" applyAlignment="1">
      <alignment horizontal="center"/>
    </xf>
    <xf numFmtId="3" fontId="14" fillId="32" borderId="0" xfId="0" applyNumberFormat="1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/>
    </xf>
    <xf numFmtId="3" fontId="14" fillId="3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/>
    </xf>
    <xf numFmtId="3" fontId="14" fillId="33" borderId="0" xfId="0" applyNumberFormat="1" applyFont="1" applyFill="1" applyAlignment="1">
      <alignment horizontal="center" vertical="center"/>
    </xf>
    <xf numFmtId="3" fontId="14" fillId="35" borderId="0" xfId="0" applyNumberFormat="1" applyFont="1" applyFill="1" applyAlignment="1">
      <alignment horizontal="center"/>
    </xf>
    <xf numFmtId="3" fontId="14" fillId="34" borderId="0" xfId="0" applyNumberFormat="1" applyFont="1" applyFill="1" applyAlignment="1">
      <alignment horizontal="center" vertical="center"/>
    </xf>
    <xf numFmtId="3" fontId="16" fillId="30" borderId="0" xfId="0" applyNumberFormat="1" applyFont="1" applyFill="1" applyAlignment="1">
      <alignment horizontal="center"/>
    </xf>
    <xf numFmtId="3" fontId="16" fillId="30" borderId="8" xfId="0" applyNumberFormat="1" applyFont="1" applyFill="1" applyBorder="1" applyAlignment="1">
      <alignment horizontal="center"/>
    </xf>
    <xf numFmtId="3" fontId="16" fillId="73" borderId="0" xfId="0" applyNumberFormat="1" applyFont="1" applyFill="1" applyAlignment="1">
      <alignment horizontal="center"/>
    </xf>
    <xf numFmtId="3" fontId="16" fillId="73" borderId="8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 vertical="center"/>
    </xf>
    <xf numFmtId="3" fontId="14" fillId="36" borderId="0" xfId="0" applyNumberFormat="1" applyFont="1" applyFill="1" applyAlignment="1">
      <alignment horizontal="center"/>
    </xf>
    <xf numFmtId="3" fontId="7" fillId="37" borderId="0" xfId="0" applyNumberFormat="1" applyFont="1" applyFill="1" applyAlignment="1">
      <alignment horizontal="center" vertical="center"/>
    </xf>
    <xf numFmtId="3" fontId="7" fillId="7" borderId="7" xfId="0" applyNumberFormat="1" applyFont="1" applyFill="1" applyBorder="1" applyAlignment="1">
      <alignment horizontal="center"/>
    </xf>
    <xf numFmtId="3" fontId="16" fillId="7" borderId="9" xfId="0" applyNumberFormat="1" applyFont="1" applyFill="1" applyBorder="1" applyAlignment="1">
      <alignment horizontal="center"/>
    </xf>
    <xf numFmtId="3" fontId="16" fillId="7" borderId="10" xfId="0" applyNumberFormat="1" applyFont="1" applyFill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3" fontId="16" fillId="35" borderId="10" xfId="0" applyNumberFormat="1" applyFont="1" applyFill="1" applyBorder="1" applyAlignment="1">
      <alignment horizontal="center"/>
    </xf>
    <xf numFmtId="3" fontId="16" fillId="7" borderId="11" xfId="0" applyNumberFormat="1" applyFont="1" applyFill="1" applyBorder="1" applyAlignment="1">
      <alignment horizontal="center"/>
    </xf>
    <xf numFmtId="3" fontId="27" fillId="0" borderId="9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/>
    </xf>
    <xf numFmtId="3" fontId="14" fillId="25" borderId="9" xfId="0" applyNumberFormat="1" applyFont="1" applyFill="1" applyBorder="1" applyAlignment="1">
      <alignment horizontal="center"/>
    </xf>
    <xf numFmtId="3" fontId="16" fillId="68" borderId="0" xfId="0" applyNumberFormat="1" applyFont="1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10" fillId="0" borderId="3" xfId="0" applyFont="1" applyBorder="1"/>
    <xf numFmtId="0" fontId="10" fillId="0" borderId="2" xfId="0" applyFont="1" applyBorder="1"/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16" fillId="8" borderId="0" xfId="0" applyNumberFormat="1" applyFont="1" applyFill="1" applyAlignment="1">
      <alignment horizontal="center"/>
    </xf>
    <xf numFmtId="3" fontId="20" fillId="4" borderId="16" xfId="0" applyNumberFormat="1" applyFont="1" applyFill="1" applyBorder="1" applyAlignment="1">
      <alignment horizontal="center"/>
    </xf>
    <xf numFmtId="0" fontId="10" fillId="0" borderId="16" xfId="0" applyFont="1" applyBorder="1"/>
    <xf numFmtId="0" fontId="10" fillId="0" borderId="15" xfId="0" applyFont="1" applyBorder="1"/>
    <xf numFmtId="3" fontId="20" fillId="41" borderId="14" xfId="0" applyNumberFormat="1" applyFont="1" applyFill="1" applyBorder="1" applyAlignment="1">
      <alignment horizontal="center"/>
    </xf>
    <xf numFmtId="3" fontId="20" fillId="42" borderId="14" xfId="0" applyNumberFormat="1" applyFont="1" applyFill="1" applyBorder="1" applyAlignment="1">
      <alignment horizontal="center"/>
    </xf>
    <xf numFmtId="3" fontId="20" fillId="43" borderId="16" xfId="0" applyNumberFormat="1" applyFont="1" applyFill="1" applyBorder="1" applyAlignment="1">
      <alignment horizontal="center"/>
    </xf>
    <xf numFmtId="3" fontId="16" fillId="44" borderId="0" xfId="0" applyNumberFormat="1" applyFont="1" applyFill="1" applyAlignment="1">
      <alignment horizontal="center"/>
    </xf>
    <xf numFmtId="0" fontId="10" fillId="0" borderId="8" xfId="0" applyFont="1" applyBorder="1"/>
    <xf numFmtId="3" fontId="20" fillId="43" borderId="14" xfId="0" applyNumberFormat="1" applyFont="1" applyFill="1" applyBorder="1" applyAlignment="1">
      <alignment horizontal="center"/>
    </xf>
    <xf numFmtId="3" fontId="7" fillId="35" borderId="3" xfId="0" applyNumberFormat="1" applyFont="1" applyFill="1" applyBorder="1" applyAlignment="1">
      <alignment horizontal="center" vertical="center"/>
    </xf>
    <xf numFmtId="3" fontId="28" fillId="37" borderId="1" xfId="0" applyNumberFormat="1" applyFont="1" applyFill="1" applyBorder="1" applyAlignment="1">
      <alignment horizontal="center" vertical="center"/>
    </xf>
    <xf numFmtId="3" fontId="16" fillId="48" borderId="7" xfId="0" applyNumberFormat="1" applyFont="1" applyFill="1" applyBorder="1" applyAlignment="1">
      <alignment horizontal="center"/>
    </xf>
    <xf numFmtId="3" fontId="16" fillId="48" borderId="0" xfId="0" applyNumberFormat="1" applyFont="1" applyFill="1" applyAlignment="1">
      <alignment horizontal="center"/>
    </xf>
    <xf numFmtId="3" fontId="16" fillId="49" borderId="7" xfId="0" applyNumberFormat="1" applyFont="1" applyFill="1" applyBorder="1" applyAlignment="1">
      <alignment horizontal="center"/>
    </xf>
    <xf numFmtId="3" fontId="16" fillId="49" borderId="0" xfId="0" applyNumberFormat="1" applyFont="1" applyFill="1" applyAlignment="1">
      <alignment horizontal="center"/>
    </xf>
    <xf numFmtId="3" fontId="28" fillId="37" borderId="3" xfId="0" applyNumberFormat="1" applyFont="1" applyFill="1" applyBorder="1" applyAlignment="1">
      <alignment horizontal="center" vertical="center"/>
    </xf>
    <xf numFmtId="3" fontId="22" fillId="0" borderId="0" xfId="0" applyNumberFormat="1" applyFont="1" applyAlignment="1">
      <alignment horizontal="left"/>
    </xf>
    <xf numFmtId="3" fontId="20" fillId="55" borderId="14" xfId="0" applyNumberFormat="1" applyFont="1" applyFill="1" applyBorder="1" applyAlignment="1">
      <alignment horizontal="center"/>
    </xf>
    <xf numFmtId="3" fontId="20" fillId="13" borderId="14" xfId="0" applyNumberFormat="1" applyFont="1" applyFill="1" applyBorder="1" applyAlignment="1">
      <alignment horizontal="center"/>
    </xf>
    <xf numFmtId="3" fontId="20" fillId="42" borderId="1" xfId="0" applyNumberFormat="1" applyFont="1" applyFill="1" applyBorder="1" applyAlignment="1">
      <alignment horizontal="center"/>
    </xf>
    <xf numFmtId="3" fontId="20" fillId="55" borderId="1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7" fillId="44" borderId="0" xfId="0" applyNumberFormat="1" applyFont="1" applyFill="1" applyAlignment="1">
      <alignment horizontal="center"/>
    </xf>
    <xf numFmtId="3" fontId="7" fillId="48" borderId="7" xfId="0" applyNumberFormat="1" applyFont="1" applyFill="1" applyBorder="1" applyAlignment="1">
      <alignment horizontal="center"/>
    </xf>
    <xf numFmtId="3" fontId="7" fillId="48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3" fontId="7" fillId="49" borderId="7" xfId="0" applyNumberFormat="1" applyFont="1" applyFill="1" applyBorder="1" applyAlignment="1">
      <alignment horizontal="center"/>
    </xf>
    <xf numFmtId="3" fontId="7" fillId="4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190500</xdr:colOff>
      <xdr:row>31</xdr:row>
      <xdr:rowOff>127000</xdr:rowOff>
    </xdr:from>
    <xdr:to>
      <xdr:col>7</xdr:col>
      <xdr:colOff>190500</xdr:colOff>
      <xdr:row>38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607B8B4-F1BF-BE0E-3BB7-F04390FED289}"/>
            </a:ext>
          </a:extLst>
        </xdr:cNvPr>
        <xdr:cNvSpPr txBox="1">
          <a:spLocks noChangeArrowheads="1"/>
        </xdr:cNvSpPr>
      </xdr:nvSpPr>
      <xdr:spPr bwMode="auto">
        <a:xfrm>
          <a:off x="1701800" y="6032500"/>
          <a:ext cx="33528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190500</xdr:colOff>
      <xdr:row>24</xdr:row>
      <xdr:rowOff>127000</xdr:rowOff>
    </xdr:from>
    <xdr:to>
      <xdr:col>7</xdr:col>
      <xdr:colOff>190500</xdr:colOff>
      <xdr:row>30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9FC7BF9-4752-3326-EB89-8E80C0A27557}"/>
            </a:ext>
          </a:extLst>
        </xdr:cNvPr>
        <xdr:cNvSpPr txBox="1">
          <a:spLocks noChangeArrowheads="1"/>
        </xdr:cNvSpPr>
      </xdr:nvSpPr>
      <xdr:spPr bwMode="auto">
        <a:xfrm>
          <a:off x="1701800" y="4699000"/>
          <a:ext cx="33528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ysra" id="{817974A1-C7EE-4F91-AFC9-A9909FB28DC9}" userId="" providerId="google-sheets"/>
  <person displayName="Kite Lazures" id="{335C29E4-1036-4F85-9801-8DD27500D3E0}" userId="" providerId="google-sheets"/>
  <person displayName="Troy Okumura" id="{CD50FB0B-9301-4DCC-B210-01011C0D36B8}" userId="" providerId="google-sheets"/>
  <person displayName="Kevin Dievart" id="{1C7A895C-4059-4666-BE7D-EFA03C271889}" userId="" providerId="google-sheets"/>
  <person displayName="Ernesto Garcia" id="{F07816F7-7C65-4A00-B2C5-ECADB986BE70}" userId="" providerId="google-sheets"/>
  <person displayName="Mitchell Weber" id="{4B10E592-9456-44CE-928A-D58F3A1EB414}" userId="" providerId="google-sheets"/>
  <person displayName="ScandalScratch" id="{6DDFEEDB-BC3D-4CEF-94A1-1CCFEE80046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5-12-16T11:36:59.00" personId="{335C29E4-1036-4F85-9801-8DD27500D3E0}" id="{9DC3BF0D-162D-4873-8F10-C4367800BB31}" done="1">
    <text>2800</text>
  </threadedComment>
  <threadedComment ref="C25" dT="2025-12-15T07:44:19.00" personId="{817974A1-C7EE-4F91-AFC9-A9909FB28DC9}" id="{05E854E3-F6C8-439B-BD30-1C150604B388}" done="1">
    <text>3100</text>
  </threadedComment>
  <threadedComment ref="D25" dT="2025-12-15T07:44:35.00" personId="{817974A1-C7EE-4F91-AFC9-A9909FB28DC9}" id="{AEAC8765-EDD5-4E12-9538-C8C58C63C88F}" done="1">
    <text>3200</text>
  </threadedComment>
  <threadedComment ref="E25" dT="2025-12-15T07:44:51.00" personId="{817974A1-C7EE-4F91-AFC9-A9909FB28DC9}" id="{BFBCD296-0A55-4616-8F2D-5DC3E454448F}" done="1">
    <text>3300</text>
  </threadedComment>
  <threadedComment ref="F25" dT="2025-12-15T07:45:03.00" personId="{817974A1-C7EE-4F91-AFC9-A9909FB28DC9}" id="{A528409B-E8CD-49E0-B630-3218D2BD5664}" done="1">
    <text>3400</text>
  </threadedComment>
  <threadedComment ref="G25" dT="2025-12-15T07:45:14.00" personId="{817974A1-C7EE-4F91-AFC9-A9909FB28DC9}" id="{B7932F51-2A5D-44E8-A453-B39E791007BC}" done="1">
    <text>3500</text>
  </threadedComment>
  <threadedComment ref="C30" dT="2025-12-29T14:13:13.00" personId="{CD50FB0B-9301-4DCC-B210-01011C0D36B8}" id="{2916ABFA-B975-484D-A1B8-6C3EE4FA8B24}" done="1">
    <text>6200</text>
  </threadedComment>
  <threadedComment ref="C31" dT="2025-12-30T19:55:45.00" personId="{335C29E4-1036-4F85-9801-8DD27500D3E0}" id="{74BEAB22-A1D6-41FB-B035-49DDE7E5F44A}" done="1">
    <text>sorry, this number seems to be a bug  and it was from vehicle advance drawing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37" dT="2025-11-05T19:16:33.00" personId="{6DDFEEDB-BC3D-4CEF-94A1-1CCFEE800465}" id="{89840812-5118-41AE-AE92-F226B4432FBF}" done="1">
    <text>400</text>
  </threadedComment>
  <threadedComment ref="Q37" dT="2025-11-05T19:16:15.00" personId="{6DDFEEDB-BC3D-4CEF-94A1-1CCFEE800465}" id="{75A86BDB-C80D-47AE-9049-EC2C174EB140}" done="1">
    <text>40</text>
  </threadedComment>
  <threadedComment ref="AP43" dT="2026-01-14T09:23:02.00" personId="{6DDFEEDB-BC3D-4CEF-94A1-1CCFEE800465}" id="{DD0E0145-B7CC-4493-9C22-612F435A2809}" done="1">
    <text>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</text>
  </threadedComment>
  <threadedComment ref="AP43" dT="2026-01-19T14:55:20.00" personId="{F07816F7-7C65-4A00-B2C5-ECADB986BE70}" id="{7736E0C5-F994-4E11-BE61-90F3B89EB483}" parentId="{DD0E0145-B7CC-4493-9C22-612F435A2809}">
    <text>I changed the total in the top of the table fro 1 to 60 to 38 to 60
Contrassegnato come risolto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7" dT="2026-01-22T01:07:10.00" personId="{335C29E4-1036-4F85-9801-8DD27500D3E0}" id="{C7B46440-2E81-478D-9D85-AE03B26EDAAA}" done="1">
    <text>Hi, is it possible to add a table for the number of accessory that will be sacrificed for each upgrade after 30?
Here is the info: 1x for 30, 1x for 35, 1x for 40, 2x for 45, 2x for 50x 3x for 55.</text>
  </threadedComment>
  <threadedComment ref="O17" dT="2026-01-22T20:25:04.00" personId="{F07816F7-7C65-4A00-B2C5-ECADB986BE70}" id="{FFAAC5DC-CDCC-4C1B-A9DE-5E736229DE40}" parentId="{C7B46440-2E81-478D-9D85-AE03B26EDAAA}">
    <text>Done
Contrassegnato come risolto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11-21T01:48:54.00" personId="{6DDFEEDB-BC3D-4CEF-94A1-1CCFEE800465}" id="{3C35817F-EE22-43AB-8231-613F47CBFE21}" done="1">
    <text>Please use thousand separators for all EXP columns</text>
  </threadedComment>
  <threadedComment ref="F1" dT="2025-11-21T01:50:29.00" personId="{6DDFEEDB-BC3D-4CEF-94A1-1CCFEE800465}" id="{481FED56-8DE8-4B36-A012-4433D3BDB574}" parentId="{3C35817F-EE22-43AB-8231-613F47CBFE21}">
    <text>Or maybe even for all columns with numbers above thousand
Contrassegnato come risolto</text>
  </threadedComment>
  <threadedComment ref="D8" dT="2026-01-19T13:45:12.00" personId="{1C7A895C-4059-4666-BE7D-EFA03C271889}" id="{B7A820D3-1012-4FA2-A5A9-D1F444892F7A}" done="1">
    <text>Thanks a lot for those sheets. They're very helpful. Is it possible to add fans increase figures for each artist, assets levels?</text>
  </threadedComment>
  <threadedComment ref="D8" dT="2026-01-19T15:25:37.00" personId="{F07816F7-7C65-4A00-B2C5-ECADB986BE70}" id="{C5F35644-6772-4054-8A06-8A724F12B4BE}" parentId="{B7A820D3-1012-4FA2-A5A9-D1F444892F7A}">
    <text>i am working on something, still in development</text>
  </threadedComment>
  <threadedComment ref="D8" dT="2026-01-19T15:25:43.00" personId="{F07816F7-7C65-4A00-B2C5-ECADB986BE70}" id="{F0EAF77D-7D4B-4D56-BD0D-EC180EB6FC25}" parentId="{B7A820D3-1012-4FA2-A5A9-D1F444892F7A}">
    <text>Marked as resolved</text>
  </threadedComment>
  <threadedComment ref="D8" dT="2026-01-19T15:29:19.00" personId="{F07816F7-7C65-4A00-B2C5-ECADB986BE70}" id="{784A57D8-C629-4929-BF7B-6607933A3534}" parentId="{B7A820D3-1012-4FA2-A5A9-D1F444892F7A}">
    <text>but only is doable with assets. Not with artist level.
Re-opened
Contrassegnato come risolto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R6" dT="2025-12-31T06:26:50.00" personId="{4B10E592-9456-44CE-928A-D58F3A1EB414}" id="{BC9460E7-79D9-4667-873D-914872D2057E}" done="1">
    <text>These are actually 21,300 per level and I think they will just increase by 300 for each set of set of 3 but can update back once I get to that point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6.5" customWidth="1"/>
    <col min="3" max="3" width="14.1640625" customWidth="1"/>
    <col min="4" max="6" width="12.6640625" customWidth="1"/>
    <col min="10" max="12" width="3.1640625" customWidth="1"/>
    <col min="13" max="13" width="10.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0</v>
      </c>
      <c r="B2" s="4"/>
      <c r="C2" s="4"/>
      <c r="D2" s="4"/>
      <c r="E2" s="1"/>
      <c r="F2" s="1"/>
      <c r="G2" s="1"/>
      <c r="H2" s="467" t="s">
        <v>1</v>
      </c>
      <c r="I2" s="468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467" t="s">
        <v>2</v>
      </c>
      <c r="I3" s="468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5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6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5" t="s">
        <v>5</v>
      </c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7" t="s">
        <v>6</v>
      </c>
      <c r="N6" s="8" t="s">
        <v>7</v>
      </c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0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N7" s="8" t="s">
        <v>8</v>
      </c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469" t="s">
        <v>9</v>
      </c>
      <c r="C8" s="465"/>
      <c r="D8" s="469" t="s">
        <v>10</v>
      </c>
      <c r="E8" s="464"/>
      <c r="F8" s="465"/>
      <c r="G8" s="469" t="s">
        <v>11</v>
      </c>
      <c r="H8" s="464"/>
      <c r="I8" s="465"/>
      <c r="J8" s="1"/>
      <c r="K8" s="2"/>
      <c r="L8" s="1"/>
      <c r="M8" s="7" t="s">
        <v>12</v>
      </c>
      <c r="N8" s="8" t="s">
        <v>13</v>
      </c>
      <c r="O8" s="9"/>
      <c r="P8" s="9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466" t="s">
        <v>14</v>
      </c>
      <c r="C9" s="465"/>
      <c r="D9" s="463" t="s">
        <v>15</v>
      </c>
      <c r="E9" s="464"/>
      <c r="F9" s="465"/>
      <c r="G9" s="463" t="s">
        <v>16</v>
      </c>
      <c r="H9" s="464"/>
      <c r="I9" s="465"/>
      <c r="J9" s="1"/>
      <c r="K9" s="2"/>
      <c r="L9" s="1"/>
      <c r="M9" s="7" t="s">
        <v>17</v>
      </c>
      <c r="N9" s="8" t="s">
        <v>18</v>
      </c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466" t="s">
        <v>19</v>
      </c>
      <c r="C10" s="465"/>
      <c r="D10" s="463" t="s">
        <v>15</v>
      </c>
      <c r="E10" s="464"/>
      <c r="F10" s="465"/>
      <c r="G10" s="463" t="s">
        <v>16</v>
      </c>
      <c r="H10" s="464"/>
      <c r="I10" s="465"/>
      <c r="J10" s="1"/>
      <c r="K10" s="2"/>
      <c r="L10" s="1"/>
      <c r="M10" s="7" t="s">
        <v>17</v>
      </c>
      <c r="N10" s="8" t="s">
        <v>20</v>
      </c>
      <c r="O10" s="9"/>
      <c r="P10" s="9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466" t="s">
        <v>21</v>
      </c>
      <c r="C11" s="465"/>
      <c r="D11" s="463" t="s">
        <v>22</v>
      </c>
      <c r="E11" s="464"/>
      <c r="F11" s="465"/>
      <c r="G11" s="463" t="s">
        <v>23</v>
      </c>
      <c r="H11" s="464"/>
      <c r="I11" s="465"/>
      <c r="J11" s="1"/>
      <c r="K11" s="2"/>
      <c r="L11" s="1"/>
      <c r="M11" s="9"/>
      <c r="N11" s="8" t="s">
        <v>24</v>
      </c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466" t="s">
        <v>25</v>
      </c>
      <c r="C12" s="465"/>
      <c r="D12" s="463" t="s">
        <v>26</v>
      </c>
      <c r="E12" s="464"/>
      <c r="F12" s="465"/>
      <c r="G12" s="463" t="s">
        <v>27</v>
      </c>
      <c r="H12" s="464"/>
      <c r="I12" s="465"/>
      <c r="J12" s="1"/>
      <c r="K12" s="2"/>
      <c r="L12" s="1"/>
      <c r="M12" s="7" t="s">
        <v>28</v>
      </c>
      <c r="N12" s="8" t="s">
        <v>29</v>
      </c>
      <c r="O12" s="11"/>
      <c r="P12" s="11"/>
      <c r="Q12" s="1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466" t="s">
        <v>30</v>
      </c>
      <c r="C13" s="465"/>
      <c r="D13" s="463" t="s">
        <v>31</v>
      </c>
      <c r="E13" s="464"/>
      <c r="F13" s="465"/>
      <c r="G13" s="463" t="s">
        <v>32</v>
      </c>
      <c r="H13" s="464"/>
      <c r="I13" s="465"/>
      <c r="J13" s="1"/>
      <c r="K13" s="2"/>
      <c r="L13" s="1"/>
      <c r="M13" s="12"/>
      <c r="N13" s="11"/>
      <c r="O13" s="11"/>
      <c r="P13" s="1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466" t="s">
        <v>33</v>
      </c>
      <c r="C14" s="465"/>
      <c r="D14" s="463" t="s">
        <v>34</v>
      </c>
      <c r="E14" s="464"/>
      <c r="F14" s="465"/>
      <c r="G14" s="463" t="s">
        <v>23</v>
      </c>
      <c r="H14" s="464"/>
      <c r="I14" s="465"/>
      <c r="J14" s="1"/>
      <c r="K14" s="2"/>
      <c r="L14" s="1"/>
      <c r="M14" s="12"/>
      <c r="N14" s="11"/>
      <c r="O14" s="11"/>
      <c r="P14" s="1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466" t="s">
        <v>35</v>
      </c>
      <c r="C15" s="465"/>
      <c r="D15" s="463" t="s">
        <v>36</v>
      </c>
      <c r="E15" s="464"/>
      <c r="F15" s="465"/>
      <c r="G15" s="463" t="s">
        <v>23</v>
      </c>
      <c r="H15" s="464"/>
      <c r="I15" s="465"/>
      <c r="J15" s="1"/>
      <c r="K15" s="2"/>
      <c r="L15" s="1"/>
      <c r="M15" s="12"/>
      <c r="N15" s="11"/>
      <c r="O15" s="11"/>
      <c r="P15" s="11"/>
      <c r="Q15" s="1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466" t="s">
        <v>37</v>
      </c>
      <c r="C16" s="465"/>
      <c r="D16" s="463" t="s">
        <v>38</v>
      </c>
      <c r="E16" s="464"/>
      <c r="F16" s="465"/>
      <c r="G16" s="463" t="s">
        <v>23</v>
      </c>
      <c r="H16" s="464"/>
      <c r="I16" s="465"/>
      <c r="J16" s="1"/>
      <c r="K16" s="2"/>
      <c r="L16" s="1"/>
      <c r="M16" s="12"/>
      <c r="N16" s="11"/>
      <c r="O16" s="11"/>
      <c r="P16" s="1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466" t="s">
        <v>39</v>
      </c>
      <c r="C17" s="465"/>
      <c r="D17" s="463" t="s">
        <v>40</v>
      </c>
      <c r="E17" s="464"/>
      <c r="F17" s="465"/>
      <c r="G17" s="463" t="s">
        <v>41</v>
      </c>
      <c r="H17" s="464"/>
      <c r="I17" s="465"/>
      <c r="J17" s="1"/>
      <c r="K17" s="2"/>
      <c r="L17" s="1"/>
      <c r="M17" s="12"/>
      <c r="N17" s="11"/>
      <c r="O17" s="11"/>
      <c r="P17" s="1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466" t="s">
        <v>42</v>
      </c>
      <c r="C18" s="465"/>
      <c r="D18" s="463" t="s">
        <v>43</v>
      </c>
      <c r="E18" s="464"/>
      <c r="F18" s="465"/>
      <c r="G18" s="463" t="s">
        <v>23</v>
      </c>
      <c r="H18" s="464"/>
      <c r="I18" s="465"/>
      <c r="J18" s="1"/>
      <c r="K18" s="2"/>
      <c r="L18" s="1"/>
      <c r="M18" s="12"/>
      <c r="N18" s="11"/>
      <c r="O18" s="11"/>
      <c r="P18" s="11"/>
      <c r="Q18" s="1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466" t="s">
        <v>44</v>
      </c>
      <c r="C19" s="465"/>
      <c r="D19" s="463" t="s">
        <v>45</v>
      </c>
      <c r="E19" s="464"/>
      <c r="F19" s="465"/>
      <c r="G19" s="463" t="s">
        <v>23</v>
      </c>
      <c r="H19" s="464"/>
      <c r="I19" s="465"/>
      <c r="J19" s="1"/>
      <c r="K19" s="2"/>
      <c r="L19" s="1"/>
      <c r="M19" s="12"/>
      <c r="N19" s="11"/>
      <c r="O19" s="11"/>
      <c r="P19" s="11"/>
      <c r="Q19" s="1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466" t="s">
        <v>46</v>
      </c>
      <c r="C20" s="465"/>
      <c r="D20" s="463" t="s">
        <v>47</v>
      </c>
      <c r="E20" s="464"/>
      <c r="F20" s="465"/>
      <c r="G20" s="463" t="s">
        <v>23</v>
      </c>
      <c r="H20" s="464"/>
      <c r="I20" s="465"/>
      <c r="J20" s="1"/>
      <c r="K20" s="2"/>
      <c r="L20" s="1"/>
      <c r="M20" s="12"/>
      <c r="N20" s="11"/>
      <c r="O20" s="11"/>
      <c r="P20" s="11"/>
      <c r="Q20" s="1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466" t="s">
        <v>48</v>
      </c>
      <c r="C21" s="465"/>
      <c r="D21" s="463" t="s">
        <v>49</v>
      </c>
      <c r="E21" s="464"/>
      <c r="F21" s="465"/>
      <c r="G21" s="463" t="s">
        <v>23</v>
      </c>
      <c r="H21" s="464"/>
      <c r="I21" s="465"/>
      <c r="J21" s="1"/>
      <c r="K21" s="2"/>
      <c r="L21" s="1"/>
      <c r="M21" s="12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466" t="s">
        <v>50</v>
      </c>
      <c r="C22" s="465"/>
      <c r="D22" s="463" t="s">
        <v>51</v>
      </c>
      <c r="E22" s="464"/>
      <c r="F22" s="465"/>
      <c r="G22" s="463" t="s">
        <v>51</v>
      </c>
      <c r="H22" s="464"/>
      <c r="I22" s="465"/>
      <c r="J22" s="1"/>
      <c r="K22" s="2"/>
      <c r="L22" s="1"/>
      <c r="M22" s="12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466" t="s">
        <v>52</v>
      </c>
      <c r="C23" s="465"/>
      <c r="D23" s="463" t="s">
        <v>53</v>
      </c>
      <c r="E23" s="464"/>
      <c r="F23" s="465"/>
      <c r="G23" s="463" t="s">
        <v>23</v>
      </c>
      <c r="H23" s="464"/>
      <c r="I23" s="465"/>
      <c r="J23" s="1"/>
      <c r="K23" s="2"/>
      <c r="L23" s="1"/>
      <c r="M23" s="12"/>
      <c r="N23" s="11"/>
      <c r="O23" s="11"/>
      <c r="P23" s="1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466" t="s">
        <v>54</v>
      </c>
      <c r="C24" s="465"/>
      <c r="D24" s="463" t="s">
        <v>53</v>
      </c>
      <c r="E24" s="464"/>
      <c r="F24" s="465"/>
      <c r="G24" s="463" t="s">
        <v>23</v>
      </c>
      <c r="H24" s="464"/>
      <c r="I24" s="465"/>
      <c r="J24" s="1"/>
      <c r="K24" s="2"/>
      <c r="L24" s="1"/>
      <c r="M24" s="12"/>
      <c r="N24" s="11"/>
      <c r="O24" s="11"/>
      <c r="P24" s="11"/>
      <c r="Q24" s="1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2"/>
      <c r="N25" s="11"/>
      <c r="O25" s="11"/>
      <c r="P25" s="1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2"/>
      <c r="N26" s="11"/>
      <c r="O26" s="11"/>
      <c r="P26" s="1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"/>
      <c r="N27" s="11"/>
      <c r="O27" s="11"/>
      <c r="P27" s="11"/>
      <c r="Q27" s="1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"/>
      <c r="N28" s="11"/>
      <c r="O28" s="11"/>
      <c r="P28" s="1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2"/>
      <c r="N29" s="11"/>
      <c r="O29" s="11"/>
      <c r="P29" s="11"/>
      <c r="Q29" s="1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2"/>
      <c r="N30" s="11"/>
      <c r="O30" s="11"/>
      <c r="P30" s="1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2"/>
      <c r="N31" s="11"/>
      <c r="O31" s="11"/>
      <c r="P31" s="11"/>
      <c r="Q31" s="1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"/>
      <c r="N32" s="11"/>
      <c r="O32" s="11"/>
      <c r="P32" s="11"/>
      <c r="Q32" s="1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"/>
      <c r="N33" s="11"/>
      <c r="O33" s="11"/>
      <c r="P33" s="1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/>
      <c r="N34" s="11"/>
      <c r="O34" s="11"/>
      <c r="P34" s="11"/>
      <c r="Q34" s="1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/>
      <c r="N35" s="11"/>
      <c r="O35" s="11"/>
      <c r="P35" s="1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  <c r="N36" s="11"/>
      <c r="O36" s="11"/>
      <c r="P36" s="1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2"/>
      <c r="N37" s="11"/>
      <c r="O37" s="11"/>
      <c r="P37" s="11"/>
      <c r="Q37" s="1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2"/>
      <c r="N38" s="11"/>
      <c r="O38" s="11"/>
      <c r="P38" s="11"/>
      <c r="Q38" s="1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1"/>
      <c r="O39" s="11"/>
      <c r="P39" s="1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"/>
      <c r="N40" s="11"/>
      <c r="O40" s="11"/>
      <c r="P40" s="1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"/>
      <c r="N41" s="11"/>
      <c r="O41" s="11"/>
      <c r="P41" s="1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2"/>
      <c r="N42" s="11"/>
      <c r="O42" s="11"/>
      <c r="P42" s="1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2"/>
      <c r="N43" s="11"/>
      <c r="O43" s="11"/>
      <c r="P43" s="1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  <c r="N44" s="11"/>
      <c r="O44" s="11"/>
      <c r="P44" s="1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2"/>
      <c r="N45" s="11"/>
      <c r="O45" s="11"/>
      <c r="P45" s="1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1"/>
      <c r="N46" s="11"/>
      <c r="O46" s="11"/>
      <c r="P46" s="1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1"/>
      <c r="N47" s="11"/>
      <c r="O47" s="11"/>
      <c r="P47" s="1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3">
    <mergeCell ref="B24:C24"/>
    <mergeCell ref="D24:F24"/>
    <mergeCell ref="G24:I24"/>
    <mergeCell ref="D17:F17"/>
    <mergeCell ref="G17:I17"/>
    <mergeCell ref="B15:C15"/>
    <mergeCell ref="D15:F15"/>
    <mergeCell ref="G15:I15"/>
    <mergeCell ref="B16:C16"/>
    <mergeCell ref="D16:F16"/>
    <mergeCell ref="G16:I16"/>
    <mergeCell ref="B17:C17"/>
    <mergeCell ref="B11:C11"/>
    <mergeCell ref="D11:F11"/>
    <mergeCell ref="G11:I11"/>
    <mergeCell ref="D14:F14"/>
    <mergeCell ref="G14:I14"/>
    <mergeCell ref="B12:C12"/>
    <mergeCell ref="D12:F12"/>
    <mergeCell ref="G12:I12"/>
    <mergeCell ref="B13:C13"/>
    <mergeCell ref="D13:F13"/>
    <mergeCell ref="G13:I13"/>
    <mergeCell ref="B14:C14"/>
    <mergeCell ref="D9:F9"/>
    <mergeCell ref="G9:I9"/>
    <mergeCell ref="B9:C9"/>
    <mergeCell ref="B10:C10"/>
    <mergeCell ref="D10:F10"/>
    <mergeCell ref="G10:I10"/>
    <mergeCell ref="H2:I2"/>
    <mergeCell ref="H3:I3"/>
    <mergeCell ref="B8:C8"/>
    <mergeCell ref="D8:F8"/>
    <mergeCell ref="G8:I8"/>
    <mergeCell ref="D23:F23"/>
    <mergeCell ref="G23:I23"/>
    <mergeCell ref="B21:C21"/>
    <mergeCell ref="D21:F21"/>
    <mergeCell ref="G21:I21"/>
    <mergeCell ref="B22:C22"/>
    <mergeCell ref="D22:F22"/>
    <mergeCell ref="G22:I22"/>
    <mergeCell ref="B23:C23"/>
    <mergeCell ref="D20:F20"/>
    <mergeCell ref="G20:I20"/>
    <mergeCell ref="B18:C18"/>
    <mergeCell ref="D18:F18"/>
    <mergeCell ref="G18:I18"/>
    <mergeCell ref="B19:C19"/>
    <mergeCell ref="D19:F19"/>
    <mergeCell ref="G19:I19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zoomScale="130" zoomScaleNormal="130" workbookViewId="0">
      <selection activeCell="I27" sqref="I27"/>
    </sheetView>
  </sheetViews>
  <sheetFormatPr baseColWidth="10" defaultColWidth="12.6640625" defaultRowHeight="15" customHeight="1" x14ac:dyDescent="0.15"/>
  <cols>
    <col min="1" max="1" width="8.5" customWidth="1"/>
    <col min="2" max="2" width="9.33203125" customWidth="1"/>
    <col min="3" max="3" width="8.5" customWidth="1"/>
    <col min="4" max="4" width="7.1640625" customWidth="1"/>
    <col min="5" max="5" width="4.1640625" customWidth="1"/>
    <col min="6" max="6" width="8.5" customWidth="1"/>
    <col min="7" max="7" width="8.6640625" customWidth="1"/>
    <col min="8" max="8" width="10.6640625" customWidth="1"/>
    <col min="9" max="9" width="9.1640625" customWidth="1"/>
    <col min="10" max="10" width="8" customWidth="1"/>
    <col min="11" max="11" width="9.83203125" customWidth="1"/>
    <col min="12" max="24" width="8.5" customWidth="1"/>
  </cols>
  <sheetData>
    <row r="1" spans="1:24" ht="15.75" customHeight="1" x14ac:dyDescent="0.15">
      <c r="A1" s="13" t="s">
        <v>55</v>
      </c>
      <c r="B1" s="14"/>
      <c r="C1" s="14"/>
      <c r="D1" s="14"/>
      <c r="E1" s="14"/>
      <c r="F1" s="14"/>
      <c r="G1" s="14"/>
      <c r="H1" s="14"/>
      <c r="I1" s="15" t="s">
        <v>56</v>
      </c>
      <c r="J1" s="14" t="s">
        <v>2</v>
      </c>
      <c r="K1" s="14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5.75" customHeight="1" x14ac:dyDescent="0.15">
      <c r="A2" s="16" t="s">
        <v>57</v>
      </c>
      <c r="B2" s="17"/>
      <c r="C2" s="17"/>
      <c r="D2" s="17"/>
      <c r="E2" s="18"/>
      <c r="F2" s="16"/>
      <c r="G2" s="17"/>
      <c r="H2" s="17"/>
      <c r="I2" s="17"/>
      <c r="J2" s="19"/>
      <c r="K2" s="1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.75" customHeight="1" x14ac:dyDescent="0.15">
      <c r="A3" s="20" t="s">
        <v>58</v>
      </c>
      <c r="B3" s="21"/>
      <c r="C3" s="21"/>
      <c r="D3" s="21"/>
      <c r="E3" s="11"/>
      <c r="F3" s="20" t="s">
        <v>59</v>
      </c>
      <c r="G3" s="21"/>
      <c r="H3" s="21"/>
      <c r="I3" s="21"/>
      <c r="J3" s="22"/>
      <c r="K3" s="2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.75" customHeight="1" x14ac:dyDescent="0.15">
      <c r="A4" s="23" t="s">
        <v>60</v>
      </c>
      <c r="B4" s="1"/>
      <c r="C4" s="24"/>
      <c r="D4" s="24"/>
      <c r="E4" s="11"/>
      <c r="F4" s="11" t="s">
        <v>61</v>
      </c>
      <c r="G4" s="25">
        <v>3</v>
      </c>
      <c r="H4" s="23" t="s">
        <v>62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5.75" customHeight="1" x14ac:dyDescent="0.15">
      <c r="A5" s="11" t="s">
        <v>63</v>
      </c>
      <c r="B5" s="26">
        <v>273</v>
      </c>
      <c r="C5" s="24" t="s">
        <v>64</v>
      </c>
      <c r="D5" s="25">
        <v>370</v>
      </c>
      <c r="E5" s="11"/>
      <c r="F5" s="11" t="s">
        <v>63</v>
      </c>
      <c r="G5" s="25">
        <v>1</v>
      </c>
      <c r="H5" s="24" t="s">
        <v>64</v>
      </c>
      <c r="I5" s="25">
        <v>60</v>
      </c>
      <c r="J5" s="1"/>
      <c r="K5" s="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.75" customHeight="1" x14ac:dyDescent="0.15">
      <c r="A6" s="27" t="s">
        <v>65</v>
      </c>
      <c r="B6" s="28">
        <f>VLOOKUP(D5-1,Tables!$A$2:$C$603,3,0)-VLOOKUP(B5-1,Tables!$A$2:$C$603,3,0)</f>
        <v>301670</v>
      </c>
      <c r="C6" s="27" t="s">
        <v>66</v>
      </c>
      <c r="D6" s="29"/>
      <c r="E6" s="27"/>
      <c r="F6" s="27" t="s">
        <v>65</v>
      </c>
      <c r="G6" s="28">
        <f>VLOOKUP(I5-1,Tables!$BH$2:$BR$63,G4*2,0)-VLOOKUP(G5-1,Tables!$BH$2:$BR$63,G4*2,0)</f>
        <v>30000</v>
      </c>
      <c r="H6" s="27" t="str">
        <f>IF($G$4&gt;3,"HQ Wood","Wood")</f>
        <v>Wood</v>
      </c>
      <c r="I6" s="11" t="str">
        <f t="shared" ref="I6:I7" si="0">IF($G$4&gt;3,"equals","")</f>
        <v/>
      </c>
      <c r="J6" s="28" t="str">
        <f t="shared" ref="J6:J7" si="1">IF($G$4&gt;3,G6*125,"")</f>
        <v/>
      </c>
      <c r="K6" s="27" t="str">
        <f>IF($G$4&gt;3,"Wood","")</f>
        <v/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.75" customHeight="1" x14ac:dyDescent="0.15">
      <c r="A7" s="30"/>
      <c r="B7" s="30"/>
      <c r="C7" s="30"/>
      <c r="D7" s="30"/>
      <c r="E7" s="27"/>
      <c r="F7" s="27"/>
      <c r="G7" s="28">
        <f>VLOOKUP(I5-1,Tables!$BH$2:$BR$63,G4*2+1,0)-VLOOKUP(G5-1,Tables!$BH$2:$BR$63,G4*2+1,0)</f>
        <v>3000</v>
      </c>
      <c r="H7" s="27" t="str">
        <f>IF($G$4&gt;3,"HQ Steel","Steel")</f>
        <v>Steel</v>
      </c>
      <c r="I7" s="11" t="str">
        <f t="shared" si="0"/>
        <v/>
      </c>
      <c r="J7" s="28" t="str">
        <f t="shared" si="1"/>
        <v/>
      </c>
      <c r="K7" s="27" t="str">
        <f>IF($G$4&gt;3,"Steel","")</f>
        <v/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31" t="s">
        <v>67</v>
      </c>
      <c r="B8" s="32"/>
      <c r="C8" s="32"/>
      <c r="D8" s="32"/>
      <c r="E8" s="11"/>
      <c r="F8" s="31" t="s">
        <v>68</v>
      </c>
      <c r="G8" s="32"/>
      <c r="H8" s="32"/>
      <c r="I8" s="33"/>
      <c r="J8" s="34"/>
      <c r="K8" s="3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.75" customHeight="1" x14ac:dyDescent="0.15">
      <c r="A9" s="24"/>
      <c r="B9" s="24"/>
      <c r="C9" s="24"/>
      <c r="D9" s="24"/>
      <c r="E9" s="11"/>
      <c r="F9" s="11" t="s">
        <v>69</v>
      </c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.75" customHeight="1" x14ac:dyDescent="0.15">
      <c r="A10" s="11" t="s">
        <v>63</v>
      </c>
      <c r="B10" s="25">
        <v>31</v>
      </c>
      <c r="C10" s="24" t="s">
        <v>64</v>
      </c>
      <c r="D10" s="25">
        <v>35</v>
      </c>
      <c r="E10" s="11"/>
      <c r="F10" s="11" t="s">
        <v>63</v>
      </c>
      <c r="G10" s="25">
        <v>1</v>
      </c>
      <c r="H10" s="24" t="s">
        <v>64</v>
      </c>
      <c r="I10" s="25">
        <v>2</v>
      </c>
      <c r="J10" s="36"/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5.75" customHeight="1" x14ac:dyDescent="0.15">
      <c r="A11" s="27" t="s">
        <v>65</v>
      </c>
      <c r="B11" s="28">
        <f>VLOOKUP(D10-1,Tables!$D$2:$F$53,3,0)-VLOOKUP(B10-1,Tables!$D$2:$F$53,3,0)</f>
        <v>18251</v>
      </c>
      <c r="C11" s="27" t="s">
        <v>70</v>
      </c>
      <c r="D11" s="29"/>
      <c r="E11" s="27"/>
      <c r="F11" s="27" t="s">
        <v>65</v>
      </c>
      <c r="G11" s="28" t="e">
        <f>VLOOKUP(I10-1,Tables!$BS$2:$CC$63,G10*2,0)-VLOOKUP(#REF!-1,Tables!$BS$2:$CC$63,G10*2,0)</f>
        <v>#REF!</v>
      </c>
      <c r="H11" s="27" t="str">
        <f>IF($G$10&gt;3,"HQ Sandstone","Sandstone")</f>
        <v>Sandstone</v>
      </c>
      <c r="I11" s="11" t="str">
        <f t="shared" ref="I11:I12" si="2">IF($G$10&gt;3,"equals","")</f>
        <v/>
      </c>
      <c r="J11" s="28" t="str">
        <f t="shared" ref="J11:J12" si="3">IF($G$10&gt;3,G11*125,"")</f>
        <v/>
      </c>
      <c r="K11" s="27" t="str">
        <f>IF($G$10&gt;3,"Sandstone","")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.75" customHeight="1" x14ac:dyDescent="0.15">
      <c r="A12" s="30"/>
      <c r="B12" s="30"/>
      <c r="C12" s="30"/>
      <c r="D12" s="30"/>
      <c r="E12" s="27"/>
      <c r="F12" s="27"/>
      <c r="G12" s="28" t="e">
        <f>VLOOKUP(I10-1,Tables!$BS$2:$CC$63,G10*2+1,0)-VLOOKUP(#REF!-1,Tables!$BS$2:$CC$63,G10*2+1,0)</f>
        <v>#REF!</v>
      </c>
      <c r="H12" s="27" t="str">
        <f>IF($G$10&gt;3,"HQ Tiles","Tiles")</f>
        <v>Tiles</v>
      </c>
      <c r="I12" s="11" t="str">
        <f t="shared" si="2"/>
        <v/>
      </c>
      <c r="J12" s="28" t="str">
        <f t="shared" si="3"/>
        <v/>
      </c>
      <c r="K12" s="27" t="str">
        <f>IF($G$10&gt;3,"Tiles","")</f>
        <v/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5.75" customHeight="1" x14ac:dyDescent="0.15">
      <c r="A13" s="37" t="s">
        <v>71</v>
      </c>
      <c r="B13" s="38"/>
      <c r="C13" s="38"/>
      <c r="D13" s="38"/>
      <c r="E13" s="11"/>
      <c r="F13" s="37" t="s">
        <v>72</v>
      </c>
      <c r="G13" s="38"/>
      <c r="H13" s="38"/>
      <c r="I13" s="39"/>
      <c r="J13" s="40"/>
      <c r="K13" s="4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.75" customHeight="1" x14ac:dyDescent="0.15">
      <c r="A14" s="42" t="s">
        <v>73</v>
      </c>
      <c r="B14" s="24"/>
      <c r="C14" s="23" t="s">
        <v>74</v>
      </c>
      <c r="D14" s="24"/>
      <c r="E14" s="11"/>
      <c r="F14" s="11" t="s">
        <v>75</v>
      </c>
      <c r="G14" s="25" t="s">
        <v>129</v>
      </c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.75" customHeight="1" x14ac:dyDescent="0.15">
      <c r="A15" s="11" t="s">
        <v>63</v>
      </c>
      <c r="B15" s="25" t="s">
        <v>78</v>
      </c>
      <c r="C15" s="24" t="s">
        <v>64</v>
      </c>
      <c r="D15" s="25" t="s">
        <v>370</v>
      </c>
      <c r="E15" s="11"/>
      <c r="F15" s="11" t="s">
        <v>63</v>
      </c>
      <c r="G15" s="25">
        <v>38</v>
      </c>
      <c r="H15" s="24" t="s">
        <v>64</v>
      </c>
      <c r="I15" s="25">
        <v>60</v>
      </c>
      <c r="J15" s="36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.75" customHeight="1" x14ac:dyDescent="0.15">
      <c r="A16" s="27" t="s">
        <v>65</v>
      </c>
      <c r="B16" s="28">
        <f>VLOOKUP(D15,Tables!$G$2:$K$36,3,0)-VLOOKUP(B15,Tables!$G$2:$K$36,3,0)</f>
        <v>208000</v>
      </c>
      <c r="C16" s="27" t="s">
        <v>79</v>
      </c>
      <c r="D16" s="6"/>
      <c r="E16" s="27"/>
      <c r="F16" s="27" t="s">
        <v>65</v>
      </c>
      <c r="G16" s="28">
        <f>VLOOKUP(I15-1,Tables!$CD$2:$CN$63,VLOOKUP($G$14,Tables!$Q$2:$R$7,2,0)*2,0)-VLOOKUP(G15-1,Tables!$CD$2:$CN$63,VLOOKUP($G$14,Tables!$Q$2:$R$7,2,0)*2,0)</f>
        <v>1600</v>
      </c>
      <c r="H16" s="27" t="str">
        <f>IF(OR($G$14="A",$G$14="A+"),"Enhanced Plugs","Plugs")</f>
        <v>Enhanced Plugs</v>
      </c>
      <c r="I16" s="11" t="str">
        <f t="shared" ref="I16:I17" si="4">IF(OR($G$14="A",$G$14="A+"),"equals","")</f>
        <v>equals</v>
      </c>
      <c r="J16" s="28">
        <f t="shared" ref="J16:J17" si="5">IF(OR($G$14="A",$G$14="A+"),G16*125,"")</f>
        <v>200000</v>
      </c>
      <c r="K16" s="27" t="str">
        <f>IF(OR($G$14="A",$G$14="A+"),"Plugs","")</f>
        <v>Plugs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.75" customHeight="1" x14ac:dyDescent="0.15">
      <c r="A17" s="30"/>
      <c r="B17" s="28">
        <f>VLOOKUP(D15,Tables!$G$2:$K$36,5,0)-VLOOKUP(B15,Tables!$G$2:$K$36,5,0)</f>
        <v>30000</v>
      </c>
      <c r="C17" s="43" t="s">
        <v>80</v>
      </c>
      <c r="D17" s="30"/>
      <c r="E17" s="27"/>
      <c r="F17" s="27"/>
      <c r="G17" s="28">
        <f>VLOOKUP(I15-1,Tables!$CD$2:$CN$63,VLOOKUP($G$14,Tables!$Q$2:$R$7,2,0)*2+1,0)-VLOOKUP(G15-1,Tables!$CD$2:$CN$63,VLOOKUP($G$14,Tables!$Q$2:$R$7,2,0)*2+1,0)</f>
        <v>181</v>
      </c>
      <c r="H17" s="27" t="str">
        <f>IF(OR($G$14="A",$G$14="A+"),"Enhanced Coils","Coils")</f>
        <v>Enhanced Coils</v>
      </c>
      <c r="I17" s="11" t="str">
        <f t="shared" si="4"/>
        <v>equals</v>
      </c>
      <c r="J17" s="28">
        <f t="shared" si="5"/>
        <v>22625</v>
      </c>
      <c r="K17" s="27" t="str">
        <f>IF(OR($G$14="A",$G$14="A+"),"Coils","")</f>
        <v>Coils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.75" customHeight="1" x14ac:dyDescent="0.15">
      <c r="A18" s="44" t="s">
        <v>81</v>
      </c>
      <c r="B18" s="45"/>
      <c r="C18" s="45"/>
      <c r="D18" s="45"/>
      <c r="E18" s="11"/>
      <c r="F18" s="44" t="s">
        <v>82</v>
      </c>
      <c r="G18" s="45"/>
      <c r="H18" s="45"/>
      <c r="I18" s="46"/>
      <c r="J18" s="47"/>
      <c r="K18" s="4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5.75" customHeight="1" x14ac:dyDescent="0.15">
      <c r="A19" s="42" t="s">
        <v>83</v>
      </c>
      <c r="B19" s="24"/>
      <c r="C19" s="23" t="s">
        <v>84</v>
      </c>
      <c r="D19" s="23"/>
      <c r="E19" s="11"/>
      <c r="F19" s="11" t="s">
        <v>85</v>
      </c>
      <c r="G19" s="25">
        <v>5</v>
      </c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.75" customHeight="1" x14ac:dyDescent="0.15">
      <c r="A20" s="11" t="s">
        <v>63</v>
      </c>
      <c r="B20" s="470" t="s">
        <v>86</v>
      </c>
      <c r="C20" s="465"/>
      <c r="D20" s="49"/>
      <c r="E20" s="11"/>
      <c r="F20" s="11" t="s">
        <v>63</v>
      </c>
      <c r="G20" s="25">
        <v>32</v>
      </c>
      <c r="H20" s="24" t="s">
        <v>64</v>
      </c>
      <c r="I20" s="25">
        <v>45</v>
      </c>
      <c r="J20" s="36"/>
      <c r="K20" s="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5.75" customHeight="1" x14ac:dyDescent="0.15">
      <c r="A21" s="24" t="s">
        <v>64</v>
      </c>
      <c r="B21" s="470" t="s">
        <v>87</v>
      </c>
      <c r="C21" s="465"/>
      <c r="D21" s="1"/>
      <c r="E21" s="11"/>
      <c r="F21" s="24"/>
      <c r="G21" s="24"/>
      <c r="H21" s="1"/>
      <c r="I21" s="1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.75" customHeight="1" x14ac:dyDescent="0.15">
      <c r="A22" s="27" t="s">
        <v>65</v>
      </c>
      <c r="B22" s="28">
        <f>VLOOKUP(B21,Tables!$L$2:$P$41,3,0)-VLOOKUP(B20,Tables!$L$2:$P$41,3,0)</f>
        <v>120000</v>
      </c>
      <c r="C22" s="27" t="s">
        <v>88</v>
      </c>
      <c r="D22" s="6"/>
      <c r="E22" s="27"/>
      <c r="F22" s="27" t="s">
        <v>65</v>
      </c>
      <c r="G22" s="28">
        <f>VLOOKUP(I20-1,Tables!$CO$2:$CY$63,$G$19*2,0)-VLOOKUP(G20-1,Tables!$CO$2:$CY$63,$G$19*2,0)</f>
        <v>2115</v>
      </c>
      <c r="H22" s="27" t="str">
        <f>IF($G$19&gt;3,"HQ Coins","Coins")</f>
        <v>HQ Coins</v>
      </c>
      <c r="I22" s="11" t="str">
        <f t="shared" ref="I22:I23" si="6">IF($G$19&gt;3,"equals","")</f>
        <v>equals</v>
      </c>
      <c r="J22" s="28">
        <f t="shared" ref="J22:J23" si="7">IF($G$19&gt;3,G22*125,"")</f>
        <v>264375</v>
      </c>
      <c r="K22" s="27" t="str">
        <f>IF($G$19&gt;3,"Coins","")</f>
        <v>Coins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.75" customHeight="1" x14ac:dyDescent="0.15">
      <c r="A23" s="30"/>
      <c r="B23" s="28">
        <f>VLOOKUP(B21,Tables!$L$2:$P$41,5,0)-VLOOKUP(B20,Tables!$L$2:$P$41,5,0)</f>
        <v>3000</v>
      </c>
      <c r="C23" s="43" t="s">
        <v>89</v>
      </c>
      <c r="D23" s="30"/>
      <c r="E23" s="27"/>
      <c r="F23" s="27"/>
      <c r="G23" s="28">
        <f>VLOOKUP(I20-1,Tables!$CO$2:$CY$63,$G$19*2+1,0)-VLOOKUP(G20-1,Tables!$CO$2:$CY$63,$G$19*2+1,0)</f>
        <v>260</v>
      </c>
      <c r="H23" s="27" t="str">
        <f>IF($G$19&gt;3,"HQ Keys","Keys")</f>
        <v>HQ Keys</v>
      </c>
      <c r="I23" s="11" t="str">
        <f t="shared" si="6"/>
        <v>equals</v>
      </c>
      <c r="J23" s="28">
        <f t="shared" si="7"/>
        <v>32500</v>
      </c>
      <c r="K23" s="27" t="str">
        <f>IF($G$19&gt;3,"Keys","")</f>
        <v>Keys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.75" customHeight="1" x14ac:dyDescent="0.15">
      <c r="A24" s="24"/>
      <c r="B24" s="24"/>
      <c r="C24" s="24"/>
      <c r="D24" s="24"/>
      <c r="E24" s="11"/>
      <c r="F24" s="11"/>
      <c r="G24" s="12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.75" customHeight="1" x14ac:dyDescent="0.15">
      <c r="A25" s="50" t="s">
        <v>90</v>
      </c>
      <c r="B25" s="51"/>
      <c r="C25" s="51"/>
      <c r="D25" s="51"/>
      <c r="E25" s="11"/>
      <c r="F25" s="52" t="s">
        <v>91</v>
      </c>
      <c r="G25" s="53"/>
      <c r="H25" s="53"/>
      <c r="I25" s="53"/>
      <c r="J25" s="53"/>
      <c r="K25" s="5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.75" customHeight="1" x14ac:dyDescent="0.15">
      <c r="A26" s="49"/>
      <c r="B26" s="49"/>
      <c r="C26" s="49"/>
      <c r="D26" s="11"/>
      <c r="E26" s="11"/>
      <c r="F26" s="11" t="s">
        <v>92</v>
      </c>
      <c r="G26" s="25" t="s">
        <v>203</v>
      </c>
      <c r="H26" s="11" t="s">
        <v>94</v>
      </c>
      <c r="I26" s="25" t="s">
        <v>317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.75" customHeight="1" x14ac:dyDescent="0.15">
      <c r="A27" s="11" t="s">
        <v>63</v>
      </c>
      <c r="B27" s="25">
        <v>1</v>
      </c>
      <c r="C27" s="11" t="s">
        <v>64</v>
      </c>
      <c r="D27" s="25">
        <v>140</v>
      </c>
      <c r="E27" s="11"/>
      <c r="F27" s="11" t="s">
        <v>63</v>
      </c>
      <c r="G27" s="25">
        <v>32</v>
      </c>
      <c r="H27" s="24" t="s">
        <v>64</v>
      </c>
      <c r="I27" s="25">
        <v>60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.75" customHeight="1" x14ac:dyDescent="0.15">
      <c r="A28" s="27" t="s">
        <v>65</v>
      </c>
      <c r="B28" s="28">
        <f>VLOOKUP($D$27-1,Tables!$CZ$2:$DD$143,3,0)-VLOOKUP($B$27-1,Tables!$CZ$2:$DD$143,3,0)</f>
        <v>341963600</v>
      </c>
      <c r="C28" s="27" t="s">
        <v>96</v>
      </c>
      <c r="D28" s="11"/>
      <c r="E28" s="11"/>
      <c r="F28" s="27" t="s">
        <v>65</v>
      </c>
      <c r="G28" s="28">
        <f>VLOOKUP($I$27-1,Tables!$DS$2:$EB$62,(VLOOKUP($I$26,Tables!$DF$2:$DG$5,2,0)-1)*3+1+VLOOKUP($G$26,Tables!$DE$2:$DG$5,3,0),0)-VLOOKUP($G$27-1,Tables!$DS$2:$EB$62,(VLOOKUP($I$26,Tables!$DF$2:$DG$5,2,0)-1)*3+1+VLOOKUP($G$26,Tables!$DE$2:$DG$5,3,0),0)</f>
        <v>2835000</v>
      </c>
      <c r="H28" s="27" t="s">
        <v>97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15.75" customHeight="1" x14ac:dyDescent="0.15">
      <c r="A29" s="30"/>
      <c r="B29" s="28">
        <f>VLOOKUP($D$27-1,Tables!$CZ$2:$DD$143,5,0)-VLOOKUP($B$27-1,Tables!$CZ$2:$DD$143,5,0)</f>
        <v>15900</v>
      </c>
      <c r="C29" s="43" t="s">
        <v>98</v>
      </c>
      <c r="D29" s="11"/>
      <c r="E29" s="11"/>
      <c r="F29" s="30"/>
      <c r="G29" s="28">
        <f>VLOOKUP(I27-1,Tables!$EC$2:$EE$63,3,0)-VLOOKUP(G27-1,Tables!$EC$2:$EE$63,3,0)</f>
        <v>9</v>
      </c>
      <c r="H29" s="43" t="s">
        <v>99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15.75" customHeight="1" x14ac:dyDescent="0.15"/>
    <row r="231" spans="1:24" ht="15.75" customHeight="1" x14ac:dyDescent="0.15"/>
    <row r="232" spans="1:24" ht="15.75" customHeight="1" x14ac:dyDescent="0.15"/>
    <row r="233" spans="1:24" ht="15.75" customHeight="1" x14ac:dyDescent="0.15"/>
    <row r="234" spans="1:24" ht="15.75" customHeight="1" x14ac:dyDescent="0.15"/>
    <row r="235" spans="1:24" ht="15.75" customHeight="1" x14ac:dyDescent="0.15"/>
    <row r="236" spans="1:24" ht="15.75" customHeight="1" x14ac:dyDescent="0.15"/>
    <row r="237" spans="1:24" ht="15.75" customHeight="1" x14ac:dyDescent="0.15"/>
    <row r="238" spans="1:24" ht="15.75" customHeight="1" x14ac:dyDescent="0.15"/>
    <row r="239" spans="1:24" ht="15.75" customHeight="1" x14ac:dyDescent="0.15"/>
    <row r="240" spans="1:24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20:C20"/>
    <mergeCell ref="B21:C2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100-000000000000}">
          <x14:formula1>
            <xm:f>Tables!$Q$3:$Q$7</xm:f>
          </x14:formula1>
          <xm:sqref>G14</xm:sqref>
        </x14:dataValidation>
        <x14:dataValidation type="list" allowBlank="1" showErrorMessage="1" xr:uid="{00000000-0002-0000-0100-000001000000}">
          <x14:formula1>
            <xm:f>Tables!$L$3:$L$31</xm:f>
          </x14:formula1>
          <xm:sqref>B20:B21</xm:sqref>
        </x14:dataValidation>
        <x14:dataValidation type="list" allowBlank="1" showErrorMessage="1" xr:uid="{00000000-0002-0000-0100-000002000000}">
          <x14:formula1>
            <xm:f>Tables!$DE$3:$DE$5</xm:f>
          </x14:formula1>
          <xm:sqref>G26</xm:sqref>
        </x14:dataValidation>
        <x14:dataValidation type="list" allowBlank="1" showErrorMessage="1" xr:uid="{00000000-0002-0000-0100-000003000000}">
          <x14:formula1>
            <xm:f>Tables!$DF$3:$DF$5</xm:f>
          </x14:formula1>
          <xm:sqref>I26</xm:sqref>
        </x14:dataValidation>
        <x14:dataValidation type="list" allowBlank="1" showErrorMessage="1" xr:uid="{00000000-0002-0000-0100-000004000000}">
          <x14:formula1>
            <xm:f>Tables!$D$4:$D$53</xm:f>
          </x14:formula1>
          <xm:sqref>B10 D10</xm:sqref>
        </x14:dataValidation>
        <x14:dataValidation type="list" allowBlank="1" showErrorMessage="1" xr:uid="{00000000-0002-0000-0100-000005000000}">
          <x14:formula1>
            <xm:f>Tables!$S$4:$S$63</xm:f>
          </x14:formula1>
          <xm:sqref>G5 I5 I10 G15 I15 G20 I20 G27 I27</xm:sqref>
        </x14:dataValidation>
        <x14:dataValidation type="list" allowBlank="1" showErrorMessage="1" xr:uid="{00000000-0002-0000-0100-000006000000}">
          <x14:formula1>
            <xm:f>Tables!$A$4:$A$429</xm:f>
          </x14:formula1>
          <xm:sqref>B5 D5</xm:sqref>
        </x14:dataValidation>
        <x14:dataValidation type="list" allowBlank="1" showErrorMessage="1" xr:uid="{00000000-0002-0000-0100-000007000000}">
          <x14:formula1>
            <xm:f>Tables!$G$3:$G$32</xm:f>
          </x14:formula1>
          <xm:sqref>B15 D15</xm:sqref>
        </x14:dataValidation>
        <x14:dataValidation type="list" allowBlank="1" showErrorMessage="1" xr:uid="{00000000-0002-0000-0100-000008000000}">
          <x14:formula1>
            <xm:f>Tables!$CZ$4:$CZ$143</xm:f>
          </x14:formula1>
          <xm:sqref>B27 D27</xm:sqref>
        </x14:dataValidation>
        <x14:dataValidation type="list" allowBlank="1" showErrorMessage="1" xr:uid="{00000000-0002-0000-0100-000009000000}">
          <x14:formula1>
            <xm:f>Tables!$R$3:$R$7</xm:f>
          </x14:formula1>
          <xm:sqref>G4 G10 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baseColWidth="10" defaultColWidth="12.6640625" defaultRowHeight="15" customHeight="1" x14ac:dyDescent="0.15"/>
  <cols>
    <col min="1" max="28" width="6.5" customWidth="1"/>
  </cols>
  <sheetData>
    <row r="1" spans="1:28" ht="15.75" customHeight="1" x14ac:dyDescent="0.2">
      <c r="A1" s="54" t="s">
        <v>58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6"/>
      <c r="Z1" s="56"/>
      <c r="AA1" s="56"/>
      <c r="AB1" s="56"/>
    </row>
    <row r="2" spans="1:28" ht="15.75" customHeight="1" x14ac:dyDescent="0.15">
      <c r="A2" s="57" t="s">
        <v>100</v>
      </c>
      <c r="B2" s="58" t="s">
        <v>66</v>
      </c>
      <c r="C2" s="59" t="s">
        <v>100</v>
      </c>
      <c r="D2" s="59" t="s">
        <v>66</v>
      </c>
      <c r="E2" s="60" t="s">
        <v>100</v>
      </c>
      <c r="F2" s="60" t="s">
        <v>66</v>
      </c>
      <c r="G2" s="61" t="s">
        <v>100</v>
      </c>
      <c r="H2" s="61" t="s">
        <v>66</v>
      </c>
      <c r="I2" s="62" t="s">
        <v>100</v>
      </c>
      <c r="J2" s="62" t="s">
        <v>66</v>
      </c>
      <c r="K2" s="63" t="s">
        <v>100</v>
      </c>
      <c r="L2" s="63" t="s">
        <v>66</v>
      </c>
      <c r="M2" s="64" t="s">
        <v>100</v>
      </c>
      <c r="N2" s="64" t="s">
        <v>66</v>
      </c>
      <c r="O2" s="65" t="s">
        <v>100</v>
      </c>
      <c r="P2" s="65" t="s">
        <v>66</v>
      </c>
      <c r="Q2" s="58" t="s">
        <v>100</v>
      </c>
      <c r="R2" s="58" t="s">
        <v>66</v>
      </c>
      <c r="S2" s="59" t="s">
        <v>100</v>
      </c>
      <c r="T2" s="59" t="s">
        <v>66</v>
      </c>
      <c r="U2" s="60" t="s">
        <v>100</v>
      </c>
      <c r="V2" s="60" t="s">
        <v>66</v>
      </c>
      <c r="W2" s="61" t="s">
        <v>100</v>
      </c>
      <c r="X2" s="66" t="s">
        <v>66</v>
      </c>
      <c r="Y2" s="67"/>
      <c r="Z2" s="67"/>
      <c r="AA2" s="67"/>
      <c r="AB2" s="67"/>
    </row>
    <row r="3" spans="1:28" ht="15.75" customHeight="1" x14ac:dyDescent="0.15">
      <c r="A3" s="68">
        <v>1</v>
      </c>
      <c r="B3" s="69">
        <v>5</v>
      </c>
      <c r="C3" s="70">
        <v>51</v>
      </c>
      <c r="D3" s="69">
        <v>410</v>
      </c>
      <c r="E3" s="70">
        <v>101</v>
      </c>
      <c r="F3" s="69">
        <v>910</v>
      </c>
      <c r="G3" s="70">
        <v>151</v>
      </c>
      <c r="H3" s="69">
        <v>1410</v>
      </c>
      <c r="I3" s="70">
        <v>201</v>
      </c>
      <c r="J3" s="69">
        <v>1910</v>
      </c>
      <c r="K3" s="70">
        <v>251</v>
      </c>
      <c r="L3" s="69">
        <v>2410</v>
      </c>
      <c r="M3" s="70">
        <v>301</v>
      </c>
      <c r="N3" s="69">
        <v>2910</v>
      </c>
      <c r="O3" s="70">
        <v>351</v>
      </c>
      <c r="P3" s="69">
        <v>3410</v>
      </c>
      <c r="Q3" s="70">
        <v>401</v>
      </c>
      <c r="R3" s="69">
        <v>3850</v>
      </c>
      <c r="S3" s="70">
        <v>451</v>
      </c>
      <c r="T3" s="69"/>
      <c r="U3" s="70">
        <v>501</v>
      </c>
      <c r="V3" s="69"/>
      <c r="W3" s="70">
        <v>551</v>
      </c>
      <c r="X3" s="71"/>
      <c r="Y3" s="67"/>
      <c r="Z3" s="67"/>
      <c r="AA3" s="67"/>
      <c r="AB3" s="67"/>
    </row>
    <row r="4" spans="1:28" ht="15.75" customHeight="1" x14ac:dyDescent="0.15">
      <c r="A4" s="68">
        <v>2</v>
      </c>
      <c r="B4" s="69">
        <v>10</v>
      </c>
      <c r="C4" s="70">
        <v>52</v>
      </c>
      <c r="D4" s="69">
        <v>420</v>
      </c>
      <c r="E4" s="70">
        <v>102</v>
      </c>
      <c r="F4" s="69">
        <v>920</v>
      </c>
      <c r="G4" s="70">
        <v>152</v>
      </c>
      <c r="H4" s="69">
        <v>1420</v>
      </c>
      <c r="I4" s="70">
        <v>202</v>
      </c>
      <c r="J4" s="69">
        <v>1920</v>
      </c>
      <c r="K4" s="70">
        <v>252</v>
      </c>
      <c r="L4" s="69">
        <v>2420</v>
      </c>
      <c r="M4" s="70">
        <v>302</v>
      </c>
      <c r="N4" s="69">
        <v>2920</v>
      </c>
      <c r="O4" s="70">
        <v>352</v>
      </c>
      <c r="P4" s="69">
        <v>3420</v>
      </c>
      <c r="Q4" s="70">
        <v>402</v>
      </c>
      <c r="R4" s="69">
        <v>3900</v>
      </c>
      <c r="S4" s="70">
        <v>452</v>
      </c>
      <c r="T4" s="69"/>
      <c r="U4" s="70">
        <v>502</v>
      </c>
      <c r="V4" s="69"/>
      <c r="W4" s="70">
        <v>552</v>
      </c>
      <c r="X4" s="71"/>
      <c r="Y4" s="67"/>
      <c r="Z4" s="67"/>
      <c r="AA4" s="67"/>
      <c r="AB4" s="67"/>
    </row>
    <row r="5" spans="1:28" ht="15.75" customHeight="1" x14ac:dyDescent="0.15">
      <c r="A5" s="68">
        <v>3</v>
      </c>
      <c r="B5" s="69">
        <v>15</v>
      </c>
      <c r="C5" s="70">
        <v>53</v>
      </c>
      <c r="D5" s="69">
        <v>430</v>
      </c>
      <c r="E5" s="70">
        <v>103</v>
      </c>
      <c r="F5" s="69">
        <v>930</v>
      </c>
      <c r="G5" s="70">
        <v>153</v>
      </c>
      <c r="H5" s="69">
        <v>1430</v>
      </c>
      <c r="I5" s="70">
        <v>203</v>
      </c>
      <c r="J5" s="69">
        <v>1930</v>
      </c>
      <c r="K5" s="70">
        <v>253</v>
      </c>
      <c r="L5" s="69">
        <v>2430</v>
      </c>
      <c r="M5" s="70">
        <v>303</v>
      </c>
      <c r="N5" s="69">
        <v>2930</v>
      </c>
      <c r="O5" s="70">
        <v>353</v>
      </c>
      <c r="P5" s="69">
        <v>3430</v>
      </c>
      <c r="Q5" s="70">
        <v>403</v>
      </c>
      <c r="R5" s="69">
        <v>3950</v>
      </c>
      <c r="S5" s="70">
        <v>453</v>
      </c>
      <c r="T5" s="69"/>
      <c r="U5" s="70">
        <v>503</v>
      </c>
      <c r="V5" s="69"/>
      <c r="W5" s="70">
        <v>553</v>
      </c>
      <c r="X5" s="71"/>
      <c r="Y5" s="67"/>
      <c r="Z5" s="67"/>
      <c r="AA5" s="67"/>
      <c r="AB5" s="67"/>
    </row>
    <row r="6" spans="1:28" ht="15.75" customHeight="1" x14ac:dyDescent="0.15">
      <c r="A6" s="68">
        <v>4</v>
      </c>
      <c r="B6" s="69">
        <v>20</v>
      </c>
      <c r="C6" s="70">
        <v>54</v>
      </c>
      <c r="D6" s="69">
        <v>440</v>
      </c>
      <c r="E6" s="70">
        <v>104</v>
      </c>
      <c r="F6" s="69">
        <v>940</v>
      </c>
      <c r="G6" s="70">
        <v>154</v>
      </c>
      <c r="H6" s="69">
        <v>1440</v>
      </c>
      <c r="I6" s="70">
        <v>204</v>
      </c>
      <c r="J6" s="69">
        <v>1940</v>
      </c>
      <c r="K6" s="70">
        <v>254</v>
      </c>
      <c r="L6" s="69">
        <v>2440</v>
      </c>
      <c r="M6" s="70">
        <v>304</v>
      </c>
      <c r="N6" s="69">
        <v>2940</v>
      </c>
      <c r="O6" s="70">
        <v>354</v>
      </c>
      <c r="P6" s="69">
        <v>3440</v>
      </c>
      <c r="Q6" s="70">
        <v>404</v>
      </c>
      <c r="R6" s="69">
        <v>4000</v>
      </c>
      <c r="S6" s="70">
        <v>454</v>
      </c>
      <c r="T6" s="69"/>
      <c r="U6" s="70">
        <v>504</v>
      </c>
      <c r="V6" s="69"/>
      <c r="W6" s="70">
        <v>554</v>
      </c>
      <c r="X6" s="71"/>
      <c r="Y6" s="67"/>
      <c r="Z6" s="67"/>
      <c r="AA6" s="67"/>
      <c r="AB6" s="67"/>
    </row>
    <row r="7" spans="1:28" ht="15.75" customHeight="1" x14ac:dyDescent="0.15">
      <c r="A7" s="68">
        <v>5</v>
      </c>
      <c r="B7" s="69">
        <v>25</v>
      </c>
      <c r="C7" s="70">
        <v>55</v>
      </c>
      <c r="D7" s="69">
        <v>450</v>
      </c>
      <c r="E7" s="70">
        <v>105</v>
      </c>
      <c r="F7" s="69">
        <v>950</v>
      </c>
      <c r="G7" s="70">
        <v>155</v>
      </c>
      <c r="H7" s="69">
        <v>1450</v>
      </c>
      <c r="I7" s="70">
        <v>205</v>
      </c>
      <c r="J7" s="69">
        <v>1950</v>
      </c>
      <c r="K7" s="70">
        <v>255</v>
      </c>
      <c r="L7" s="69">
        <v>2450</v>
      </c>
      <c r="M7" s="70">
        <v>305</v>
      </c>
      <c r="N7" s="69">
        <v>2950</v>
      </c>
      <c r="O7" s="70">
        <v>355</v>
      </c>
      <c r="P7" s="69">
        <v>3450</v>
      </c>
      <c r="Q7" s="70">
        <v>405</v>
      </c>
      <c r="R7" s="69">
        <v>4200</v>
      </c>
      <c r="S7" s="70">
        <v>455</v>
      </c>
      <c r="T7" s="69">
        <v>9300</v>
      </c>
      <c r="U7" s="70">
        <v>505</v>
      </c>
      <c r="V7" s="69"/>
      <c r="W7" s="70">
        <v>555</v>
      </c>
      <c r="X7" s="71"/>
      <c r="Y7" s="67"/>
      <c r="Z7" s="67"/>
      <c r="AA7" s="67"/>
      <c r="AB7" s="67"/>
    </row>
    <row r="8" spans="1:28" ht="15.75" customHeight="1" x14ac:dyDescent="0.15">
      <c r="A8" s="68">
        <v>6</v>
      </c>
      <c r="B8" s="69">
        <v>30</v>
      </c>
      <c r="C8" s="70">
        <v>56</v>
      </c>
      <c r="D8" s="69">
        <v>460</v>
      </c>
      <c r="E8" s="70">
        <v>106</v>
      </c>
      <c r="F8" s="69">
        <v>960</v>
      </c>
      <c r="G8" s="70">
        <v>156</v>
      </c>
      <c r="H8" s="69">
        <v>1460</v>
      </c>
      <c r="I8" s="70">
        <v>206</v>
      </c>
      <c r="J8" s="69">
        <v>1960</v>
      </c>
      <c r="K8" s="70">
        <v>256</v>
      </c>
      <c r="L8" s="69">
        <v>2460</v>
      </c>
      <c r="M8" s="70">
        <v>306</v>
      </c>
      <c r="N8" s="69">
        <v>2960</v>
      </c>
      <c r="O8" s="70">
        <v>356</v>
      </c>
      <c r="P8" s="69">
        <v>3460</v>
      </c>
      <c r="Q8" s="70">
        <v>406</v>
      </c>
      <c r="R8" s="69">
        <v>4250</v>
      </c>
      <c r="S8" s="70">
        <v>456</v>
      </c>
      <c r="T8" s="69">
        <v>9450</v>
      </c>
      <c r="U8" s="70">
        <v>506</v>
      </c>
      <c r="V8" s="69"/>
      <c r="W8" s="70">
        <v>556</v>
      </c>
      <c r="X8" s="71"/>
      <c r="Y8" s="67"/>
      <c r="Z8" s="67"/>
      <c r="AA8" s="67"/>
      <c r="AB8" s="67"/>
    </row>
    <row r="9" spans="1:28" ht="15.75" customHeight="1" x14ac:dyDescent="0.15">
      <c r="A9" s="68">
        <v>7</v>
      </c>
      <c r="B9" s="69">
        <v>35</v>
      </c>
      <c r="C9" s="70">
        <v>57</v>
      </c>
      <c r="D9" s="69">
        <v>470</v>
      </c>
      <c r="E9" s="70">
        <v>107</v>
      </c>
      <c r="F9" s="69">
        <v>970</v>
      </c>
      <c r="G9" s="70">
        <v>157</v>
      </c>
      <c r="H9" s="69">
        <v>1470</v>
      </c>
      <c r="I9" s="70">
        <v>207</v>
      </c>
      <c r="J9" s="69">
        <v>1970</v>
      </c>
      <c r="K9" s="70">
        <v>257</v>
      </c>
      <c r="L9" s="69">
        <v>2470</v>
      </c>
      <c r="M9" s="70">
        <v>307</v>
      </c>
      <c r="N9" s="69">
        <v>2970</v>
      </c>
      <c r="O9" s="70">
        <v>357</v>
      </c>
      <c r="P9" s="69">
        <v>3470</v>
      </c>
      <c r="Q9" s="70">
        <v>407</v>
      </c>
      <c r="R9" s="69">
        <v>4300</v>
      </c>
      <c r="S9" s="70">
        <v>457</v>
      </c>
      <c r="T9" s="69">
        <v>9600</v>
      </c>
      <c r="U9" s="70">
        <v>507</v>
      </c>
      <c r="V9" s="69"/>
      <c r="W9" s="70">
        <v>557</v>
      </c>
      <c r="X9" s="71"/>
      <c r="Y9" s="67"/>
      <c r="Z9" s="67"/>
      <c r="AA9" s="67"/>
      <c r="AB9" s="67"/>
    </row>
    <row r="10" spans="1:28" ht="15.75" customHeight="1" x14ac:dyDescent="0.15">
      <c r="A10" s="68">
        <v>8</v>
      </c>
      <c r="B10" s="69">
        <v>40</v>
      </c>
      <c r="C10" s="70">
        <v>58</v>
      </c>
      <c r="D10" s="69">
        <v>480</v>
      </c>
      <c r="E10" s="70">
        <v>108</v>
      </c>
      <c r="F10" s="69">
        <v>980</v>
      </c>
      <c r="G10" s="70">
        <v>158</v>
      </c>
      <c r="H10" s="69">
        <v>1480</v>
      </c>
      <c r="I10" s="70">
        <v>208</v>
      </c>
      <c r="J10" s="69">
        <v>1980</v>
      </c>
      <c r="K10" s="70">
        <v>258</v>
      </c>
      <c r="L10" s="69">
        <v>2480</v>
      </c>
      <c r="M10" s="70">
        <v>308</v>
      </c>
      <c r="N10" s="69">
        <v>2980</v>
      </c>
      <c r="O10" s="70">
        <v>358</v>
      </c>
      <c r="P10" s="69">
        <v>3480</v>
      </c>
      <c r="Q10" s="70">
        <v>408</v>
      </c>
      <c r="R10" s="69">
        <v>4350</v>
      </c>
      <c r="S10" s="70">
        <v>458</v>
      </c>
      <c r="T10" s="69">
        <v>9750</v>
      </c>
      <c r="U10" s="70">
        <v>508</v>
      </c>
      <c r="V10" s="69"/>
      <c r="W10" s="70">
        <v>558</v>
      </c>
      <c r="X10" s="71"/>
      <c r="Y10" s="67"/>
      <c r="Z10" s="67"/>
      <c r="AA10" s="67"/>
      <c r="AB10" s="67"/>
    </row>
    <row r="11" spans="1:28" ht="15.75" customHeight="1" x14ac:dyDescent="0.15">
      <c r="A11" s="68">
        <v>9</v>
      </c>
      <c r="B11" s="69">
        <v>45</v>
      </c>
      <c r="C11" s="70">
        <v>59</v>
      </c>
      <c r="D11" s="69">
        <v>490</v>
      </c>
      <c r="E11" s="70">
        <v>109</v>
      </c>
      <c r="F11" s="69">
        <v>990</v>
      </c>
      <c r="G11" s="70">
        <v>159</v>
      </c>
      <c r="H11" s="69">
        <v>1490</v>
      </c>
      <c r="I11" s="70">
        <v>209</v>
      </c>
      <c r="J11" s="69">
        <v>1990</v>
      </c>
      <c r="K11" s="70">
        <v>259</v>
      </c>
      <c r="L11" s="69">
        <v>2490</v>
      </c>
      <c r="M11" s="70">
        <v>309</v>
      </c>
      <c r="N11" s="69">
        <v>2990</v>
      </c>
      <c r="O11" s="70">
        <v>359</v>
      </c>
      <c r="P11" s="69">
        <v>3490</v>
      </c>
      <c r="Q11" s="70">
        <v>409</v>
      </c>
      <c r="R11" s="69">
        <v>4400</v>
      </c>
      <c r="S11" s="70">
        <v>459</v>
      </c>
      <c r="T11" s="69">
        <v>9900</v>
      </c>
      <c r="U11" s="70">
        <v>509</v>
      </c>
      <c r="V11" s="69"/>
      <c r="W11" s="70">
        <v>559</v>
      </c>
      <c r="X11" s="71"/>
      <c r="Y11" s="67"/>
      <c r="Z11" s="67"/>
      <c r="AA11" s="67"/>
      <c r="AB11" s="67"/>
    </row>
    <row r="12" spans="1:28" ht="15.75" customHeight="1" x14ac:dyDescent="0.15">
      <c r="A12" s="68">
        <v>10</v>
      </c>
      <c r="B12" s="69">
        <v>50</v>
      </c>
      <c r="C12" s="70">
        <v>60</v>
      </c>
      <c r="D12" s="69">
        <v>500</v>
      </c>
      <c r="E12" s="70">
        <v>110</v>
      </c>
      <c r="F12" s="69">
        <v>1000</v>
      </c>
      <c r="G12" s="70">
        <v>160</v>
      </c>
      <c r="H12" s="69">
        <v>1500</v>
      </c>
      <c r="I12" s="70">
        <v>210</v>
      </c>
      <c r="J12" s="69">
        <v>2000</v>
      </c>
      <c r="K12" s="70">
        <v>260</v>
      </c>
      <c r="L12" s="69">
        <v>2500</v>
      </c>
      <c r="M12" s="70">
        <v>310</v>
      </c>
      <c r="N12" s="69">
        <v>3000</v>
      </c>
      <c r="O12" s="70">
        <v>360</v>
      </c>
      <c r="P12" s="69">
        <v>3500</v>
      </c>
      <c r="Q12" s="70">
        <v>410</v>
      </c>
      <c r="R12" s="69">
        <v>4450</v>
      </c>
      <c r="S12" s="70">
        <v>460</v>
      </c>
      <c r="T12" s="69">
        <v>10000</v>
      </c>
      <c r="U12" s="70">
        <v>510</v>
      </c>
      <c r="V12" s="69"/>
      <c r="W12" s="70">
        <v>560</v>
      </c>
      <c r="X12" s="71"/>
      <c r="Y12" s="67"/>
      <c r="Z12" s="67"/>
      <c r="AA12" s="67"/>
      <c r="AB12" s="67"/>
    </row>
    <row r="13" spans="1:28" ht="15.75" customHeight="1" x14ac:dyDescent="0.15">
      <c r="A13" s="68">
        <v>11</v>
      </c>
      <c r="B13" s="69">
        <v>55</v>
      </c>
      <c r="C13" s="70">
        <v>61</v>
      </c>
      <c r="D13" s="69">
        <v>510</v>
      </c>
      <c r="E13" s="70">
        <v>111</v>
      </c>
      <c r="F13" s="69">
        <v>1010</v>
      </c>
      <c r="G13" s="70">
        <v>161</v>
      </c>
      <c r="H13" s="69">
        <v>1510</v>
      </c>
      <c r="I13" s="70">
        <v>211</v>
      </c>
      <c r="J13" s="69">
        <v>2010</v>
      </c>
      <c r="K13" s="70">
        <v>261</v>
      </c>
      <c r="L13" s="69">
        <v>2510</v>
      </c>
      <c r="M13" s="70">
        <v>311</v>
      </c>
      <c r="N13" s="69">
        <v>3010</v>
      </c>
      <c r="O13" s="70">
        <v>361</v>
      </c>
      <c r="P13" s="69">
        <v>3510</v>
      </c>
      <c r="Q13" s="70">
        <v>411</v>
      </c>
      <c r="R13" s="69">
        <v>4500</v>
      </c>
      <c r="S13" s="70">
        <v>461</v>
      </c>
      <c r="T13" s="69">
        <v>10200</v>
      </c>
      <c r="U13" s="70">
        <v>511</v>
      </c>
      <c r="V13" s="69"/>
      <c r="W13" s="70">
        <v>561</v>
      </c>
      <c r="X13" s="71"/>
      <c r="Y13" s="67"/>
      <c r="Z13" s="67"/>
      <c r="AA13" s="67"/>
      <c r="AB13" s="67"/>
    </row>
    <row r="14" spans="1:28" ht="15.75" customHeight="1" x14ac:dyDescent="0.15">
      <c r="A14" s="68">
        <v>12</v>
      </c>
      <c r="B14" s="69">
        <v>60</v>
      </c>
      <c r="C14" s="70">
        <v>62</v>
      </c>
      <c r="D14" s="69">
        <v>520</v>
      </c>
      <c r="E14" s="70">
        <v>112</v>
      </c>
      <c r="F14" s="69">
        <v>1020</v>
      </c>
      <c r="G14" s="70">
        <v>162</v>
      </c>
      <c r="H14" s="69">
        <v>1520</v>
      </c>
      <c r="I14" s="70">
        <v>212</v>
      </c>
      <c r="J14" s="69">
        <v>2020</v>
      </c>
      <c r="K14" s="70">
        <v>262</v>
      </c>
      <c r="L14" s="69">
        <v>2520</v>
      </c>
      <c r="M14" s="70">
        <v>312</v>
      </c>
      <c r="N14" s="69">
        <v>3020</v>
      </c>
      <c r="O14" s="70">
        <v>362</v>
      </c>
      <c r="P14" s="69">
        <v>3520</v>
      </c>
      <c r="Q14" s="70">
        <v>412</v>
      </c>
      <c r="R14" s="69">
        <v>4550</v>
      </c>
      <c r="S14" s="70">
        <v>462</v>
      </c>
      <c r="T14" s="69">
        <v>10400</v>
      </c>
      <c r="U14" s="70">
        <v>512</v>
      </c>
      <c r="V14" s="69"/>
      <c r="W14" s="70">
        <v>562</v>
      </c>
      <c r="X14" s="71"/>
      <c r="Y14" s="67"/>
      <c r="Z14" s="67"/>
      <c r="AA14" s="67"/>
      <c r="AB14" s="67"/>
    </row>
    <row r="15" spans="1:28" ht="15.75" customHeight="1" x14ac:dyDescent="0.15">
      <c r="A15" s="68">
        <v>13</v>
      </c>
      <c r="B15" s="69">
        <v>65</v>
      </c>
      <c r="C15" s="70">
        <v>63</v>
      </c>
      <c r="D15" s="69">
        <v>530</v>
      </c>
      <c r="E15" s="70">
        <v>113</v>
      </c>
      <c r="F15" s="69">
        <v>1030</v>
      </c>
      <c r="G15" s="70">
        <v>163</v>
      </c>
      <c r="H15" s="69">
        <v>1530</v>
      </c>
      <c r="I15" s="70">
        <v>213</v>
      </c>
      <c r="J15" s="69">
        <v>2030</v>
      </c>
      <c r="K15" s="70">
        <v>263</v>
      </c>
      <c r="L15" s="69">
        <v>2530</v>
      </c>
      <c r="M15" s="70">
        <v>313</v>
      </c>
      <c r="N15" s="69">
        <v>3030</v>
      </c>
      <c r="O15" s="70">
        <v>363</v>
      </c>
      <c r="P15" s="69">
        <v>3530</v>
      </c>
      <c r="Q15" s="70">
        <v>413</v>
      </c>
      <c r="R15" s="69">
        <v>4600</v>
      </c>
      <c r="S15" s="70">
        <v>463</v>
      </c>
      <c r="T15" s="69">
        <v>10600</v>
      </c>
      <c r="U15" s="70">
        <v>513</v>
      </c>
      <c r="V15" s="69"/>
      <c r="W15" s="70">
        <v>563</v>
      </c>
      <c r="X15" s="71"/>
      <c r="Y15" s="67"/>
      <c r="Z15" s="67"/>
      <c r="AA15" s="67"/>
      <c r="AB15" s="67"/>
    </row>
    <row r="16" spans="1:28" ht="15.75" customHeight="1" x14ac:dyDescent="0.15">
      <c r="A16" s="68">
        <v>14</v>
      </c>
      <c r="B16" s="69">
        <v>70</v>
      </c>
      <c r="C16" s="70">
        <v>64</v>
      </c>
      <c r="D16" s="69">
        <v>540</v>
      </c>
      <c r="E16" s="70">
        <v>114</v>
      </c>
      <c r="F16" s="69">
        <v>1040</v>
      </c>
      <c r="G16" s="70">
        <v>164</v>
      </c>
      <c r="H16" s="69">
        <v>1540</v>
      </c>
      <c r="I16" s="70">
        <v>214</v>
      </c>
      <c r="J16" s="69">
        <v>2040</v>
      </c>
      <c r="K16" s="70">
        <v>264</v>
      </c>
      <c r="L16" s="69">
        <v>2540</v>
      </c>
      <c r="M16" s="70">
        <v>314</v>
      </c>
      <c r="N16" s="69">
        <v>3040</v>
      </c>
      <c r="O16" s="70">
        <v>364</v>
      </c>
      <c r="P16" s="69">
        <v>3540</v>
      </c>
      <c r="Q16" s="70">
        <v>414</v>
      </c>
      <c r="R16" s="69">
        <v>4650</v>
      </c>
      <c r="S16" s="70">
        <v>464</v>
      </c>
      <c r="T16" s="69">
        <v>10800</v>
      </c>
      <c r="U16" s="70">
        <v>514</v>
      </c>
      <c r="V16" s="69"/>
      <c r="W16" s="70">
        <v>564</v>
      </c>
      <c r="X16" s="71"/>
      <c r="Y16" s="67"/>
      <c r="Z16" s="67"/>
      <c r="AA16" s="67"/>
      <c r="AB16" s="67"/>
    </row>
    <row r="17" spans="1:28" ht="15.75" customHeight="1" x14ac:dyDescent="0.15">
      <c r="A17" s="68">
        <v>15</v>
      </c>
      <c r="B17" s="69">
        <v>75</v>
      </c>
      <c r="C17" s="70">
        <v>65</v>
      </c>
      <c r="D17" s="69">
        <v>550</v>
      </c>
      <c r="E17" s="70">
        <v>115</v>
      </c>
      <c r="F17" s="69">
        <v>1050</v>
      </c>
      <c r="G17" s="70">
        <v>165</v>
      </c>
      <c r="H17" s="69">
        <v>1550</v>
      </c>
      <c r="I17" s="70">
        <v>215</v>
      </c>
      <c r="J17" s="69">
        <v>2050</v>
      </c>
      <c r="K17" s="70">
        <v>265</v>
      </c>
      <c r="L17" s="69">
        <v>2550</v>
      </c>
      <c r="M17" s="70">
        <v>315</v>
      </c>
      <c r="N17" s="69">
        <v>3050</v>
      </c>
      <c r="O17" s="70">
        <v>365</v>
      </c>
      <c r="P17" s="69">
        <v>3550</v>
      </c>
      <c r="Q17" s="70">
        <v>415</v>
      </c>
      <c r="R17" s="69">
        <v>4700</v>
      </c>
      <c r="S17" s="70">
        <v>465</v>
      </c>
      <c r="T17" s="69">
        <v>11000</v>
      </c>
      <c r="U17" s="70">
        <v>515</v>
      </c>
      <c r="V17" s="69"/>
      <c r="W17" s="70">
        <v>565</v>
      </c>
      <c r="X17" s="71"/>
      <c r="Y17" s="67"/>
      <c r="Z17" s="67"/>
      <c r="AA17" s="67"/>
      <c r="AB17" s="67"/>
    </row>
    <row r="18" spans="1:28" ht="15.75" customHeight="1" x14ac:dyDescent="0.15">
      <c r="A18" s="68">
        <v>16</v>
      </c>
      <c r="B18" s="69">
        <v>80</v>
      </c>
      <c r="C18" s="70">
        <v>66</v>
      </c>
      <c r="D18" s="69">
        <v>560</v>
      </c>
      <c r="E18" s="70">
        <v>116</v>
      </c>
      <c r="F18" s="69">
        <v>1060</v>
      </c>
      <c r="G18" s="70">
        <v>166</v>
      </c>
      <c r="H18" s="69">
        <v>1560</v>
      </c>
      <c r="I18" s="70">
        <v>216</v>
      </c>
      <c r="J18" s="69">
        <v>2060</v>
      </c>
      <c r="K18" s="70">
        <v>266</v>
      </c>
      <c r="L18" s="69">
        <v>2560</v>
      </c>
      <c r="M18" s="70">
        <v>316</v>
      </c>
      <c r="N18" s="69">
        <v>3060</v>
      </c>
      <c r="O18" s="70">
        <v>366</v>
      </c>
      <c r="P18" s="69">
        <v>3560</v>
      </c>
      <c r="Q18" s="70">
        <v>416</v>
      </c>
      <c r="R18" s="69">
        <v>4750</v>
      </c>
      <c r="S18" s="70">
        <v>466</v>
      </c>
      <c r="T18" s="69">
        <v>11300</v>
      </c>
      <c r="U18" s="70">
        <v>516</v>
      </c>
      <c r="V18" s="69"/>
      <c r="W18" s="70">
        <v>566</v>
      </c>
      <c r="X18" s="71"/>
      <c r="Y18" s="67"/>
      <c r="Z18" s="67"/>
      <c r="AA18" s="67"/>
      <c r="AB18" s="67"/>
    </row>
    <row r="19" spans="1:28" ht="15.75" customHeight="1" x14ac:dyDescent="0.15">
      <c r="A19" s="68">
        <v>17</v>
      </c>
      <c r="B19" s="69">
        <v>85</v>
      </c>
      <c r="C19" s="70">
        <v>67</v>
      </c>
      <c r="D19" s="69">
        <v>570</v>
      </c>
      <c r="E19" s="70">
        <v>117</v>
      </c>
      <c r="F19" s="69">
        <v>1070</v>
      </c>
      <c r="G19" s="70">
        <v>167</v>
      </c>
      <c r="H19" s="69">
        <v>1570</v>
      </c>
      <c r="I19" s="70">
        <v>217</v>
      </c>
      <c r="J19" s="69">
        <v>2070</v>
      </c>
      <c r="K19" s="70">
        <v>267</v>
      </c>
      <c r="L19" s="69">
        <v>2570</v>
      </c>
      <c r="M19" s="70">
        <v>317</v>
      </c>
      <c r="N19" s="69">
        <v>3070</v>
      </c>
      <c r="O19" s="70">
        <v>367</v>
      </c>
      <c r="P19" s="69">
        <v>3570</v>
      </c>
      <c r="Q19" s="70">
        <v>417</v>
      </c>
      <c r="R19" s="69">
        <v>4800</v>
      </c>
      <c r="S19" s="70">
        <v>467</v>
      </c>
      <c r="T19" s="69"/>
      <c r="U19" s="70">
        <v>517</v>
      </c>
      <c r="V19" s="69"/>
      <c r="W19" s="70">
        <v>567</v>
      </c>
      <c r="X19" s="71"/>
      <c r="Y19" s="67"/>
      <c r="Z19" s="67"/>
      <c r="AA19" s="67"/>
      <c r="AB19" s="67"/>
    </row>
    <row r="20" spans="1:28" ht="15.75" customHeight="1" x14ac:dyDescent="0.15">
      <c r="A20" s="68">
        <v>18</v>
      </c>
      <c r="B20" s="69">
        <v>90</v>
      </c>
      <c r="C20" s="70">
        <v>68</v>
      </c>
      <c r="D20" s="69">
        <v>580</v>
      </c>
      <c r="E20" s="70">
        <v>118</v>
      </c>
      <c r="F20" s="69">
        <v>1080</v>
      </c>
      <c r="G20" s="70">
        <v>168</v>
      </c>
      <c r="H20" s="69">
        <v>1580</v>
      </c>
      <c r="I20" s="70">
        <v>218</v>
      </c>
      <c r="J20" s="69">
        <v>2080</v>
      </c>
      <c r="K20" s="70">
        <v>268</v>
      </c>
      <c r="L20" s="69">
        <v>2580</v>
      </c>
      <c r="M20" s="70">
        <v>318</v>
      </c>
      <c r="N20" s="69">
        <v>3080</v>
      </c>
      <c r="O20" s="70">
        <v>368</v>
      </c>
      <c r="P20" s="69">
        <v>3580</v>
      </c>
      <c r="Q20" s="70">
        <v>418</v>
      </c>
      <c r="R20" s="69">
        <v>4850</v>
      </c>
      <c r="S20" s="70">
        <v>468</v>
      </c>
      <c r="T20" s="69"/>
      <c r="U20" s="70">
        <v>518</v>
      </c>
      <c r="V20" s="69"/>
      <c r="W20" s="70">
        <v>568</v>
      </c>
      <c r="X20" s="71"/>
      <c r="Y20" s="67"/>
      <c r="Z20" s="67"/>
      <c r="AA20" s="67"/>
      <c r="AB20" s="67"/>
    </row>
    <row r="21" spans="1:28" ht="15.75" customHeight="1" x14ac:dyDescent="0.15">
      <c r="A21" s="68">
        <v>19</v>
      </c>
      <c r="B21" s="69">
        <v>95</v>
      </c>
      <c r="C21" s="70">
        <v>69</v>
      </c>
      <c r="D21" s="69">
        <v>590</v>
      </c>
      <c r="E21" s="70">
        <v>119</v>
      </c>
      <c r="F21" s="69">
        <v>1090</v>
      </c>
      <c r="G21" s="70">
        <v>169</v>
      </c>
      <c r="H21" s="69">
        <v>1590</v>
      </c>
      <c r="I21" s="70">
        <v>219</v>
      </c>
      <c r="J21" s="69">
        <v>2090</v>
      </c>
      <c r="K21" s="70">
        <v>269</v>
      </c>
      <c r="L21" s="69">
        <v>2590</v>
      </c>
      <c r="M21" s="70">
        <v>319</v>
      </c>
      <c r="N21" s="69">
        <v>3090</v>
      </c>
      <c r="O21" s="70">
        <v>369</v>
      </c>
      <c r="P21" s="69">
        <v>3590</v>
      </c>
      <c r="Q21" s="70">
        <v>419</v>
      </c>
      <c r="R21" s="69">
        <v>4900</v>
      </c>
      <c r="S21" s="70">
        <v>469</v>
      </c>
      <c r="T21" s="69"/>
      <c r="U21" s="70">
        <v>519</v>
      </c>
      <c r="V21" s="69"/>
      <c r="W21" s="70">
        <v>569</v>
      </c>
      <c r="X21" s="71"/>
      <c r="Y21" s="67"/>
      <c r="Z21" s="67"/>
      <c r="AA21" s="67"/>
      <c r="AB21" s="67"/>
    </row>
    <row r="22" spans="1:28" ht="15.75" customHeight="1" x14ac:dyDescent="0.15">
      <c r="A22" s="68">
        <v>20</v>
      </c>
      <c r="B22" s="69">
        <v>100</v>
      </c>
      <c r="C22" s="70">
        <v>70</v>
      </c>
      <c r="D22" s="69">
        <v>600</v>
      </c>
      <c r="E22" s="70">
        <v>120</v>
      </c>
      <c r="F22" s="69">
        <v>1100</v>
      </c>
      <c r="G22" s="70">
        <v>170</v>
      </c>
      <c r="H22" s="69">
        <v>1600</v>
      </c>
      <c r="I22" s="70">
        <v>220</v>
      </c>
      <c r="J22" s="69">
        <v>2100</v>
      </c>
      <c r="K22" s="70">
        <v>270</v>
      </c>
      <c r="L22" s="69">
        <v>2600</v>
      </c>
      <c r="M22" s="70">
        <v>320</v>
      </c>
      <c r="N22" s="69">
        <v>3100</v>
      </c>
      <c r="O22" s="70">
        <v>370</v>
      </c>
      <c r="P22" s="69">
        <v>3600</v>
      </c>
      <c r="Q22" s="70">
        <v>420</v>
      </c>
      <c r="R22" s="69">
        <v>5000</v>
      </c>
      <c r="S22" s="70">
        <v>470</v>
      </c>
      <c r="T22" s="69"/>
      <c r="U22" s="70">
        <v>520</v>
      </c>
      <c r="V22" s="69"/>
      <c r="W22" s="70">
        <v>570</v>
      </c>
      <c r="X22" s="71"/>
      <c r="Y22" s="67"/>
      <c r="Z22" s="67"/>
      <c r="AA22" s="67"/>
      <c r="AB22" s="67"/>
    </row>
    <row r="23" spans="1:28" ht="15.75" customHeight="1" x14ac:dyDescent="0.15">
      <c r="A23" s="68">
        <v>21</v>
      </c>
      <c r="B23" s="69">
        <v>110</v>
      </c>
      <c r="C23" s="70">
        <v>71</v>
      </c>
      <c r="D23" s="69">
        <v>610</v>
      </c>
      <c r="E23" s="70">
        <v>121</v>
      </c>
      <c r="F23" s="69">
        <v>1110</v>
      </c>
      <c r="G23" s="70">
        <v>171</v>
      </c>
      <c r="H23" s="69">
        <v>1610</v>
      </c>
      <c r="I23" s="70">
        <v>221</v>
      </c>
      <c r="J23" s="69">
        <v>2110</v>
      </c>
      <c r="K23" s="70">
        <v>271</v>
      </c>
      <c r="L23" s="69">
        <v>2610</v>
      </c>
      <c r="M23" s="70">
        <v>321</v>
      </c>
      <c r="N23" s="69">
        <v>3110</v>
      </c>
      <c r="O23" s="70">
        <v>371</v>
      </c>
      <c r="P23" s="69">
        <v>3610</v>
      </c>
      <c r="Q23" s="70">
        <v>421</v>
      </c>
      <c r="R23" s="69">
        <v>5100</v>
      </c>
      <c r="S23" s="70">
        <v>471</v>
      </c>
      <c r="T23" s="69"/>
      <c r="U23" s="70">
        <v>521</v>
      </c>
      <c r="V23" s="69"/>
      <c r="W23" s="70">
        <v>571</v>
      </c>
      <c r="X23" s="71"/>
      <c r="Y23" s="67"/>
      <c r="Z23" s="67"/>
      <c r="AA23" s="67"/>
      <c r="AB23" s="67"/>
    </row>
    <row r="24" spans="1:28" ht="15.75" customHeight="1" x14ac:dyDescent="0.15">
      <c r="A24" s="68">
        <v>22</v>
      </c>
      <c r="B24" s="69">
        <v>120</v>
      </c>
      <c r="C24" s="70">
        <v>72</v>
      </c>
      <c r="D24" s="69">
        <v>620</v>
      </c>
      <c r="E24" s="70">
        <v>122</v>
      </c>
      <c r="F24" s="69">
        <v>1120</v>
      </c>
      <c r="G24" s="70">
        <v>172</v>
      </c>
      <c r="H24" s="69">
        <v>1620</v>
      </c>
      <c r="I24" s="70">
        <v>222</v>
      </c>
      <c r="J24" s="69">
        <v>2120</v>
      </c>
      <c r="K24" s="70">
        <v>272</v>
      </c>
      <c r="L24" s="69">
        <v>2620</v>
      </c>
      <c r="M24" s="70">
        <v>322</v>
      </c>
      <c r="N24" s="69">
        <v>3120</v>
      </c>
      <c r="O24" s="70">
        <v>372</v>
      </c>
      <c r="P24" s="69">
        <v>3620</v>
      </c>
      <c r="Q24" s="70">
        <v>422</v>
      </c>
      <c r="R24" s="69">
        <v>5200</v>
      </c>
      <c r="S24" s="70">
        <v>472</v>
      </c>
      <c r="T24" s="69"/>
      <c r="U24" s="70">
        <v>522</v>
      </c>
      <c r="V24" s="69"/>
      <c r="W24" s="70">
        <v>572</v>
      </c>
      <c r="X24" s="71"/>
      <c r="Y24" s="67"/>
      <c r="Z24" s="67"/>
      <c r="AA24" s="67"/>
      <c r="AB24" s="67"/>
    </row>
    <row r="25" spans="1:28" ht="15.75" customHeight="1" x14ac:dyDescent="0.15">
      <c r="A25" s="68">
        <v>23</v>
      </c>
      <c r="B25" s="69">
        <v>130</v>
      </c>
      <c r="C25" s="70">
        <v>73</v>
      </c>
      <c r="D25" s="69">
        <v>630</v>
      </c>
      <c r="E25" s="70">
        <v>123</v>
      </c>
      <c r="F25" s="69">
        <v>1130</v>
      </c>
      <c r="G25" s="70">
        <v>173</v>
      </c>
      <c r="H25" s="69">
        <v>1630</v>
      </c>
      <c r="I25" s="70">
        <v>223</v>
      </c>
      <c r="J25" s="69">
        <v>2130</v>
      </c>
      <c r="K25" s="70">
        <v>273</v>
      </c>
      <c r="L25" s="69">
        <v>2630</v>
      </c>
      <c r="M25" s="70">
        <v>323</v>
      </c>
      <c r="N25" s="69">
        <v>3130</v>
      </c>
      <c r="O25" s="70">
        <v>373</v>
      </c>
      <c r="P25" s="69">
        <v>3620</v>
      </c>
      <c r="Q25" s="70">
        <v>423</v>
      </c>
      <c r="R25" s="69">
        <v>5300</v>
      </c>
      <c r="S25" s="70">
        <v>473</v>
      </c>
      <c r="T25" s="69"/>
      <c r="U25" s="70">
        <v>523</v>
      </c>
      <c r="V25" s="69"/>
      <c r="W25" s="70">
        <v>573</v>
      </c>
      <c r="X25" s="71"/>
      <c r="Y25" s="67"/>
      <c r="Z25" s="67"/>
      <c r="AA25" s="67"/>
      <c r="AB25" s="67"/>
    </row>
    <row r="26" spans="1:28" ht="15.75" customHeight="1" x14ac:dyDescent="0.15">
      <c r="A26" s="68">
        <v>24</v>
      </c>
      <c r="B26" s="69">
        <v>140</v>
      </c>
      <c r="C26" s="70">
        <v>74</v>
      </c>
      <c r="D26" s="69">
        <v>640</v>
      </c>
      <c r="E26" s="70">
        <v>124</v>
      </c>
      <c r="F26" s="69">
        <v>1140</v>
      </c>
      <c r="G26" s="70">
        <v>174</v>
      </c>
      <c r="H26" s="69">
        <v>1640</v>
      </c>
      <c r="I26" s="70">
        <v>224</v>
      </c>
      <c r="J26" s="69">
        <v>2140</v>
      </c>
      <c r="K26" s="70">
        <v>274</v>
      </c>
      <c r="L26" s="69">
        <v>2640</v>
      </c>
      <c r="M26" s="70">
        <v>324</v>
      </c>
      <c r="N26" s="69">
        <v>3140</v>
      </c>
      <c r="O26" s="70">
        <v>374</v>
      </c>
      <c r="P26" s="69">
        <v>3620</v>
      </c>
      <c r="Q26" s="70">
        <v>424</v>
      </c>
      <c r="R26" s="69">
        <v>5400</v>
      </c>
      <c r="S26" s="70">
        <v>474</v>
      </c>
      <c r="T26" s="69"/>
      <c r="U26" s="70">
        <v>524</v>
      </c>
      <c r="V26" s="69"/>
      <c r="W26" s="70">
        <v>574</v>
      </c>
      <c r="X26" s="71"/>
      <c r="Y26" s="67"/>
      <c r="Z26" s="67"/>
      <c r="AA26" s="67"/>
      <c r="AB26" s="67"/>
    </row>
    <row r="27" spans="1:28" ht="15.75" customHeight="1" x14ac:dyDescent="0.15">
      <c r="A27" s="68">
        <v>25</v>
      </c>
      <c r="B27" s="69">
        <v>150</v>
      </c>
      <c r="C27" s="70">
        <v>75</v>
      </c>
      <c r="D27" s="69">
        <v>650</v>
      </c>
      <c r="E27" s="70">
        <v>125</v>
      </c>
      <c r="F27" s="69">
        <v>1150</v>
      </c>
      <c r="G27" s="70">
        <v>175</v>
      </c>
      <c r="H27" s="69">
        <v>1650</v>
      </c>
      <c r="I27" s="70">
        <v>225</v>
      </c>
      <c r="J27" s="69">
        <v>2150</v>
      </c>
      <c r="K27" s="70">
        <v>275</v>
      </c>
      <c r="L27" s="69">
        <v>2650</v>
      </c>
      <c r="M27" s="70">
        <v>325</v>
      </c>
      <c r="N27" s="69">
        <v>3150</v>
      </c>
      <c r="O27" s="70">
        <v>375</v>
      </c>
      <c r="P27" s="69">
        <v>3620</v>
      </c>
      <c r="Q27" s="70">
        <v>425</v>
      </c>
      <c r="R27" s="69">
        <v>5500</v>
      </c>
      <c r="S27" s="70">
        <v>475</v>
      </c>
      <c r="T27" s="69"/>
      <c r="U27" s="70">
        <v>525</v>
      </c>
      <c r="V27" s="69"/>
      <c r="W27" s="70">
        <v>575</v>
      </c>
      <c r="X27" s="71"/>
      <c r="Y27" s="67"/>
      <c r="Z27" s="69"/>
      <c r="AA27" s="67"/>
      <c r="AB27" s="67"/>
    </row>
    <row r="28" spans="1:28" ht="15.75" customHeight="1" x14ac:dyDescent="0.15">
      <c r="A28" s="68">
        <v>26</v>
      </c>
      <c r="B28" s="69">
        <v>160</v>
      </c>
      <c r="C28" s="70">
        <v>76</v>
      </c>
      <c r="D28" s="69">
        <v>660</v>
      </c>
      <c r="E28" s="70">
        <v>126</v>
      </c>
      <c r="F28" s="69">
        <v>1160</v>
      </c>
      <c r="G28" s="70">
        <v>176</v>
      </c>
      <c r="H28" s="69">
        <v>1660</v>
      </c>
      <c r="I28" s="70">
        <v>226</v>
      </c>
      <c r="J28" s="69">
        <v>2160</v>
      </c>
      <c r="K28" s="70">
        <v>276</v>
      </c>
      <c r="L28" s="69">
        <v>2660</v>
      </c>
      <c r="M28" s="70">
        <v>326</v>
      </c>
      <c r="N28" s="69">
        <v>3160</v>
      </c>
      <c r="O28" s="70">
        <v>376</v>
      </c>
      <c r="P28" s="69">
        <v>3620</v>
      </c>
      <c r="Q28" s="70">
        <v>426</v>
      </c>
      <c r="R28" s="69">
        <v>5600</v>
      </c>
      <c r="S28" s="70">
        <v>476</v>
      </c>
      <c r="T28" s="69"/>
      <c r="U28" s="70">
        <v>526</v>
      </c>
      <c r="V28" s="69"/>
      <c r="W28" s="70">
        <v>576</v>
      </c>
      <c r="X28" s="71"/>
      <c r="Y28" s="67"/>
      <c r="Z28" s="69"/>
      <c r="AA28" s="67"/>
      <c r="AB28" s="67"/>
    </row>
    <row r="29" spans="1:28" ht="15.75" customHeight="1" x14ac:dyDescent="0.15">
      <c r="A29" s="68">
        <v>27</v>
      </c>
      <c r="B29" s="69">
        <v>170</v>
      </c>
      <c r="C29" s="70">
        <v>77</v>
      </c>
      <c r="D29" s="69">
        <v>670</v>
      </c>
      <c r="E29" s="70">
        <v>127</v>
      </c>
      <c r="F29" s="69">
        <v>1170</v>
      </c>
      <c r="G29" s="70">
        <v>177</v>
      </c>
      <c r="H29" s="69">
        <v>1670</v>
      </c>
      <c r="I29" s="70">
        <v>227</v>
      </c>
      <c r="J29" s="69">
        <v>2170</v>
      </c>
      <c r="K29" s="70">
        <v>277</v>
      </c>
      <c r="L29" s="69">
        <v>2670</v>
      </c>
      <c r="M29" s="70">
        <v>327</v>
      </c>
      <c r="N29" s="69">
        <v>3170</v>
      </c>
      <c r="O29" s="70">
        <v>377</v>
      </c>
      <c r="P29" s="69">
        <v>3620</v>
      </c>
      <c r="Q29" s="70">
        <v>427</v>
      </c>
      <c r="R29" s="69"/>
      <c r="S29" s="70">
        <v>477</v>
      </c>
      <c r="T29" s="69"/>
      <c r="U29" s="70">
        <v>527</v>
      </c>
      <c r="V29" s="69"/>
      <c r="W29" s="70">
        <v>577</v>
      </c>
      <c r="X29" s="71"/>
      <c r="Y29" s="67"/>
      <c r="Z29" s="69"/>
      <c r="AA29" s="67"/>
      <c r="AB29" s="67"/>
    </row>
    <row r="30" spans="1:28" ht="15.75" customHeight="1" x14ac:dyDescent="0.15">
      <c r="A30" s="68">
        <v>28</v>
      </c>
      <c r="B30" s="69">
        <v>180</v>
      </c>
      <c r="C30" s="70">
        <v>78</v>
      </c>
      <c r="D30" s="69">
        <v>680</v>
      </c>
      <c r="E30" s="70">
        <v>128</v>
      </c>
      <c r="F30" s="69">
        <v>1180</v>
      </c>
      <c r="G30" s="70">
        <v>178</v>
      </c>
      <c r="H30" s="69">
        <v>1680</v>
      </c>
      <c r="I30" s="70">
        <v>228</v>
      </c>
      <c r="J30" s="69">
        <v>2180</v>
      </c>
      <c r="K30" s="70">
        <v>278</v>
      </c>
      <c r="L30" s="69">
        <v>2680</v>
      </c>
      <c r="M30" s="70">
        <v>328</v>
      </c>
      <c r="N30" s="69">
        <v>3180</v>
      </c>
      <c r="O30" s="70">
        <v>378</v>
      </c>
      <c r="P30" s="69">
        <v>3620</v>
      </c>
      <c r="Q30" s="70">
        <v>428</v>
      </c>
      <c r="R30" s="69"/>
      <c r="S30" s="70">
        <v>478</v>
      </c>
      <c r="T30" s="69"/>
      <c r="U30" s="70">
        <v>528</v>
      </c>
      <c r="V30" s="69"/>
      <c r="W30" s="70">
        <v>578</v>
      </c>
      <c r="X30" s="71"/>
      <c r="Y30" s="67"/>
      <c r="Z30" s="69"/>
      <c r="AA30" s="67"/>
      <c r="AB30" s="67"/>
    </row>
    <row r="31" spans="1:28" ht="15.75" customHeight="1" x14ac:dyDescent="0.15">
      <c r="A31" s="68">
        <v>29</v>
      </c>
      <c r="B31" s="69">
        <v>190</v>
      </c>
      <c r="C31" s="70">
        <v>79</v>
      </c>
      <c r="D31" s="69">
        <v>690</v>
      </c>
      <c r="E31" s="70">
        <v>129</v>
      </c>
      <c r="F31" s="69">
        <v>1190</v>
      </c>
      <c r="G31" s="70">
        <v>179</v>
      </c>
      <c r="H31" s="69">
        <v>1690</v>
      </c>
      <c r="I31" s="70">
        <v>229</v>
      </c>
      <c r="J31" s="69">
        <v>2190</v>
      </c>
      <c r="K31" s="70">
        <v>279</v>
      </c>
      <c r="L31" s="69">
        <v>2690</v>
      </c>
      <c r="M31" s="70">
        <v>329</v>
      </c>
      <c r="N31" s="69">
        <v>3190</v>
      </c>
      <c r="O31" s="70">
        <v>379</v>
      </c>
      <c r="P31" s="69">
        <v>3620</v>
      </c>
      <c r="Q31" s="70">
        <v>429</v>
      </c>
      <c r="R31" s="69"/>
      <c r="S31" s="70">
        <v>479</v>
      </c>
      <c r="T31" s="69"/>
      <c r="U31" s="70">
        <v>529</v>
      </c>
      <c r="V31" s="69"/>
      <c r="W31" s="70">
        <v>579</v>
      </c>
      <c r="X31" s="71"/>
      <c r="Y31" s="67"/>
      <c r="Z31" s="69"/>
      <c r="AA31" s="67"/>
      <c r="AB31" s="67"/>
    </row>
    <row r="32" spans="1:28" ht="15.75" customHeight="1" x14ac:dyDescent="0.15">
      <c r="A32" s="68">
        <v>30</v>
      </c>
      <c r="B32" s="69">
        <v>200</v>
      </c>
      <c r="C32" s="70">
        <v>80</v>
      </c>
      <c r="D32" s="69">
        <v>700</v>
      </c>
      <c r="E32" s="70">
        <v>130</v>
      </c>
      <c r="F32" s="69">
        <v>1200</v>
      </c>
      <c r="G32" s="70">
        <v>180</v>
      </c>
      <c r="H32" s="69">
        <v>1700</v>
      </c>
      <c r="I32" s="70">
        <v>230</v>
      </c>
      <c r="J32" s="69">
        <v>2200</v>
      </c>
      <c r="K32" s="70">
        <v>280</v>
      </c>
      <c r="L32" s="69">
        <v>2700</v>
      </c>
      <c r="M32" s="70">
        <v>330</v>
      </c>
      <c r="N32" s="69">
        <v>3200</v>
      </c>
      <c r="O32" s="70">
        <v>380</v>
      </c>
      <c r="P32" s="69">
        <v>3620</v>
      </c>
      <c r="Q32" s="70">
        <v>430</v>
      </c>
      <c r="R32" s="69"/>
      <c r="S32" s="70">
        <v>480</v>
      </c>
      <c r="T32" s="69"/>
      <c r="U32" s="70">
        <v>530</v>
      </c>
      <c r="V32" s="69"/>
      <c r="W32" s="70">
        <v>580</v>
      </c>
      <c r="X32" s="71"/>
      <c r="Y32" s="67"/>
      <c r="Z32" s="69"/>
      <c r="AA32" s="67"/>
      <c r="AB32" s="67"/>
    </row>
    <row r="33" spans="1:28" ht="15.75" customHeight="1" x14ac:dyDescent="0.15">
      <c r="A33" s="68">
        <v>31</v>
      </c>
      <c r="B33" s="69">
        <v>210</v>
      </c>
      <c r="C33" s="70">
        <v>81</v>
      </c>
      <c r="D33" s="69">
        <v>710</v>
      </c>
      <c r="E33" s="70">
        <v>131</v>
      </c>
      <c r="F33" s="69">
        <v>1210</v>
      </c>
      <c r="G33" s="70">
        <v>181</v>
      </c>
      <c r="H33" s="69">
        <v>1710</v>
      </c>
      <c r="I33" s="70">
        <v>231</v>
      </c>
      <c r="J33" s="69">
        <v>2210</v>
      </c>
      <c r="K33" s="70">
        <v>281</v>
      </c>
      <c r="L33" s="69">
        <v>2710</v>
      </c>
      <c r="M33" s="70">
        <v>331</v>
      </c>
      <c r="N33" s="69">
        <v>3210</v>
      </c>
      <c r="O33" s="70">
        <v>381</v>
      </c>
      <c r="P33" s="69">
        <v>3620</v>
      </c>
      <c r="Q33" s="70">
        <v>431</v>
      </c>
      <c r="R33" s="69"/>
      <c r="S33" s="70">
        <v>481</v>
      </c>
      <c r="T33" s="69"/>
      <c r="U33" s="70">
        <v>531</v>
      </c>
      <c r="V33" s="69"/>
      <c r="W33" s="70">
        <v>581</v>
      </c>
      <c r="X33" s="71"/>
      <c r="Y33" s="67"/>
      <c r="Z33" s="69"/>
      <c r="AA33" s="67"/>
      <c r="AB33" s="67"/>
    </row>
    <row r="34" spans="1:28" ht="15.75" customHeight="1" x14ac:dyDescent="0.15">
      <c r="A34" s="68">
        <v>32</v>
      </c>
      <c r="B34" s="69">
        <v>220</v>
      </c>
      <c r="C34" s="70">
        <v>82</v>
      </c>
      <c r="D34" s="69">
        <v>720</v>
      </c>
      <c r="E34" s="70">
        <v>132</v>
      </c>
      <c r="F34" s="69">
        <v>1220</v>
      </c>
      <c r="G34" s="70">
        <v>182</v>
      </c>
      <c r="H34" s="69">
        <v>1720</v>
      </c>
      <c r="I34" s="70">
        <v>232</v>
      </c>
      <c r="J34" s="69">
        <v>2220</v>
      </c>
      <c r="K34" s="70">
        <v>282</v>
      </c>
      <c r="L34" s="69">
        <v>2720</v>
      </c>
      <c r="M34" s="70">
        <v>332</v>
      </c>
      <c r="N34" s="69">
        <v>3220</v>
      </c>
      <c r="O34" s="70">
        <v>382</v>
      </c>
      <c r="P34" s="69">
        <v>3620</v>
      </c>
      <c r="Q34" s="70">
        <v>432</v>
      </c>
      <c r="R34" s="69"/>
      <c r="S34" s="70">
        <v>482</v>
      </c>
      <c r="T34" s="69"/>
      <c r="U34" s="70">
        <v>532</v>
      </c>
      <c r="V34" s="69"/>
      <c r="W34" s="70">
        <v>582</v>
      </c>
      <c r="X34" s="71"/>
      <c r="Y34" s="67"/>
      <c r="Z34" s="69"/>
      <c r="AA34" s="67"/>
      <c r="AB34" s="67"/>
    </row>
    <row r="35" spans="1:28" ht="15.75" customHeight="1" x14ac:dyDescent="0.15">
      <c r="A35" s="68">
        <v>33</v>
      </c>
      <c r="B35" s="69">
        <v>230</v>
      </c>
      <c r="C35" s="70">
        <v>83</v>
      </c>
      <c r="D35" s="69">
        <v>730</v>
      </c>
      <c r="E35" s="70">
        <v>133</v>
      </c>
      <c r="F35" s="69">
        <v>1230</v>
      </c>
      <c r="G35" s="70">
        <v>183</v>
      </c>
      <c r="H35" s="69">
        <v>1730</v>
      </c>
      <c r="I35" s="70">
        <v>233</v>
      </c>
      <c r="J35" s="69">
        <v>2230</v>
      </c>
      <c r="K35" s="70">
        <v>283</v>
      </c>
      <c r="L35" s="69">
        <v>2730</v>
      </c>
      <c r="M35" s="70">
        <v>333</v>
      </c>
      <c r="N35" s="69">
        <v>3230</v>
      </c>
      <c r="O35" s="70">
        <v>383</v>
      </c>
      <c r="P35" s="69">
        <v>3620</v>
      </c>
      <c r="Q35" s="70">
        <v>433</v>
      </c>
      <c r="R35" s="69"/>
      <c r="S35" s="70">
        <v>483</v>
      </c>
      <c r="T35" s="69"/>
      <c r="U35" s="70">
        <v>533</v>
      </c>
      <c r="V35" s="69"/>
      <c r="W35" s="70">
        <v>583</v>
      </c>
      <c r="X35" s="71"/>
      <c r="Y35" s="67"/>
      <c r="Z35" s="69"/>
      <c r="AA35" s="67"/>
      <c r="AB35" s="67"/>
    </row>
    <row r="36" spans="1:28" ht="15.75" customHeight="1" x14ac:dyDescent="0.15">
      <c r="A36" s="68">
        <v>34</v>
      </c>
      <c r="B36" s="69">
        <v>240</v>
      </c>
      <c r="C36" s="70">
        <v>84</v>
      </c>
      <c r="D36" s="69">
        <v>740</v>
      </c>
      <c r="E36" s="70">
        <v>134</v>
      </c>
      <c r="F36" s="69">
        <v>1240</v>
      </c>
      <c r="G36" s="70">
        <v>184</v>
      </c>
      <c r="H36" s="69">
        <v>1740</v>
      </c>
      <c r="I36" s="70">
        <v>234</v>
      </c>
      <c r="J36" s="69">
        <v>2240</v>
      </c>
      <c r="K36" s="70">
        <v>284</v>
      </c>
      <c r="L36" s="69">
        <v>2740</v>
      </c>
      <c r="M36" s="70">
        <v>334</v>
      </c>
      <c r="N36" s="69">
        <v>3240</v>
      </c>
      <c r="O36" s="70">
        <v>384</v>
      </c>
      <c r="P36" s="69">
        <v>3620</v>
      </c>
      <c r="Q36" s="70">
        <v>434</v>
      </c>
      <c r="R36" s="69"/>
      <c r="S36" s="70">
        <v>484</v>
      </c>
      <c r="T36" s="69"/>
      <c r="U36" s="70">
        <v>534</v>
      </c>
      <c r="V36" s="69"/>
      <c r="W36" s="70">
        <v>584</v>
      </c>
      <c r="X36" s="71"/>
      <c r="Y36" s="67"/>
      <c r="Z36" s="69"/>
      <c r="AA36" s="69"/>
      <c r="AB36" s="67"/>
    </row>
    <row r="37" spans="1:28" ht="15.75" customHeight="1" x14ac:dyDescent="0.15">
      <c r="A37" s="68">
        <v>35</v>
      </c>
      <c r="B37" s="69">
        <v>250</v>
      </c>
      <c r="C37" s="70">
        <v>85</v>
      </c>
      <c r="D37" s="69">
        <v>750</v>
      </c>
      <c r="E37" s="70">
        <v>135</v>
      </c>
      <c r="F37" s="69">
        <v>1250</v>
      </c>
      <c r="G37" s="70">
        <v>185</v>
      </c>
      <c r="H37" s="69">
        <v>1750</v>
      </c>
      <c r="I37" s="70">
        <v>235</v>
      </c>
      <c r="J37" s="69">
        <v>2250</v>
      </c>
      <c r="K37" s="70">
        <v>285</v>
      </c>
      <c r="L37" s="69">
        <v>2750</v>
      </c>
      <c r="M37" s="70">
        <v>335</v>
      </c>
      <c r="N37" s="69">
        <v>3250</v>
      </c>
      <c r="O37" s="70">
        <v>385</v>
      </c>
      <c r="P37" s="69">
        <v>3620</v>
      </c>
      <c r="Q37" s="70">
        <v>435</v>
      </c>
      <c r="R37" s="69"/>
      <c r="S37" s="70">
        <v>485</v>
      </c>
      <c r="T37" s="69"/>
      <c r="U37" s="70">
        <v>535</v>
      </c>
      <c r="V37" s="69"/>
      <c r="W37" s="70">
        <v>585</v>
      </c>
      <c r="X37" s="71"/>
      <c r="Y37" s="67"/>
      <c r="Z37" s="69"/>
      <c r="AA37" s="69"/>
      <c r="AB37" s="67"/>
    </row>
    <row r="38" spans="1:28" ht="15.75" customHeight="1" x14ac:dyDescent="0.15">
      <c r="A38" s="68">
        <v>36</v>
      </c>
      <c r="B38" s="69">
        <v>260</v>
      </c>
      <c r="C38" s="70">
        <v>86</v>
      </c>
      <c r="D38" s="69">
        <v>760</v>
      </c>
      <c r="E38" s="70">
        <v>136</v>
      </c>
      <c r="F38" s="69">
        <v>1260</v>
      </c>
      <c r="G38" s="70">
        <v>186</v>
      </c>
      <c r="H38" s="69">
        <v>1760</v>
      </c>
      <c r="I38" s="70">
        <v>236</v>
      </c>
      <c r="J38" s="69">
        <v>2260</v>
      </c>
      <c r="K38" s="70">
        <v>286</v>
      </c>
      <c r="L38" s="69">
        <v>2760</v>
      </c>
      <c r="M38" s="70">
        <v>336</v>
      </c>
      <c r="N38" s="69">
        <v>3260</v>
      </c>
      <c r="O38" s="70">
        <v>386</v>
      </c>
      <c r="P38" s="69">
        <v>3620</v>
      </c>
      <c r="Q38" s="70">
        <v>436</v>
      </c>
      <c r="R38" s="69"/>
      <c r="S38" s="70">
        <v>486</v>
      </c>
      <c r="T38" s="69"/>
      <c r="U38" s="70">
        <v>536</v>
      </c>
      <c r="V38" s="69"/>
      <c r="W38" s="70">
        <v>586</v>
      </c>
      <c r="X38" s="71"/>
      <c r="Y38" s="67"/>
      <c r="Z38" s="69"/>
      <c r="AA38" s="69"/>
      <c r="AB38" s="67"/>
    </row>
    <row r="39" spans="1:28" ht="15.75" customHeight="1" x14ac:dyDescent="0.15">
      <c r="A39" s="68">
        <v>37</v>
      </c>
      <c r="B39" s="69">
        <v>270</v>
      </c>
      <c r="C39" s="70">
        <v>87</v>
      </c>
      <c r="D39" s="69">
        <v>770</v>
      </c>
      <c r="E39" s="70">
        <v>137</v>
      </c>
      <c r="F39" s="69">
        <v>1270</v>
      </c>
      <c r="G39" s="70">
        <v>187</v>
      </c>
      <c r="H39" s="69">
        <v>1770</v>
      </c>
      <c r="I39" s="70">
        <v>237</v>
      </c>
      <c r="J39" s="69">
        <v>2270</v>
      </c>
      <c r="K39" s="70">
        <v>287</v>
      </c>
      <c r="L39" s="69">
        <v>2770</v>
      </c>
      <c r="M39" s="70">
        <v>337</v>
      </c>
      <c r="N39" s="69">
        <v>3270</v>
      </c>
      <c r="O39" s="70">
        <v>387</v>
      </c>
      <c r="P39" s="69">
        <v>3620</v>
      </c>
      <c r="Q39" s="70">
        <v>437</v>
      </c>
      <c r="R39" s="69"/>
      <c r="S39" s="70">
        <v>487</v>
      </c>
      <c r="T39" s="69"/>
      <c r="U39" s="70">
        <v>537</v>
      </c>
      <c r="V39" s="69"/>
      <c r="W39" s="70">
        <v>587</v>
      </c>
      <c r="X39" s="71"/>
      <c r="Y39" s="67"/>
      <c r="Z39" s="69"/>
      <c r="AA39" s="69"/>
      <c r="AB39" s="67"/>
    </row>
    <row r="40" spans="1:28" ht="15.75" customHeight="1" x14ac:dyDescent="0.15">
      <c r="A40" s="68">
        <v>38</v>
      </c>
      <c r="B40" s="69">
        <v>280</v>
      </c>
      <c r="C40" s="70">
        <v>88</v>
      </c>
      <c r="D40" s="69">
        <v>780</v>
      </c>
      <c r="E40" s="70">
        <v>138</v>
      </c>
      <c r="F40" s="69">
        <v>1280</v>
      </c>
      <c r="G40" s="70">
        <v>188</v>
      </c>
      <c r="H40" s="69">
        <v>1780</v>
      </c>
      <c r="I40" s="70">
        <v>238</v>
      </c>
      <c r="J40" s="69">
        <v>2280</v>
      </c>
      <c r="K40" s="70">
        <v>288</v>
      </c>
      <c r="L40" s="69">
        <v>2780</v>
      </c>
      <c r="M40" s="70">
        <v>338</v>
      </c>
      <c r="N40" s="69">
        <v>3280</v>
      </c>
      <c r="O40" s="70">
        <v>388</v>
      </c>
      <c r="P40" s="69">
        <v>3620</v>
      </c>
      <c r="Q40" s="70">
        <v>438</v>
      </c>
      <c r="R40" s="69"/>
      <c r="S40" s="70">
        <v>488</v>
      </c>
      <c r="T40" s="69"/>
      <c r="U40" s="70">
        <v>538</v>
      </c>
      <c r="V40" s="69"/>
      <c r="W40" s="70">
        <v>588</v>
      </c>
      <c r="X40" s="71"/>
      <c r="Y40" s="67"/>
      <c r="Z40" s="69"/>
      <c r="AA40" s="69"/>
      <c r="AB40" s="67"/>
    </row>
    <row r="41" spans="1:28" ht="15.75" customHeight="1" x14ac:dyDescent="0.15">
      <c r="A41" s="68">
        <v>39</v>
      </c>
      <c r="B41" s="69">
        <v>290</v>
      </c>
      <c r="C41" s="70">
        <v>89</v>
      </c>
      <c r="D41" s="69">
        <v>790</v>
      </c>
      <c r="E41" s="70">
        <v>139</v>
      </c>
      <c r="F41" s="69">
        <v>1290</v>
      </c>
      <c r="G41" s="70">
        <v>189</v>
      </c>
      <c r="H41" s="69">
        <v>1790</v>
      </c>
      <c r="I41" s="70">
        <v>239</v>
      </c>
      <c r="J41" s="69">
        <v>2290</v>
      </c>
      <c r="K41" s="70">
        <v>289</v>
      </c>
      <c r="L41" s="69">
        <v>2790</v>
      </c>
      <c r="M41" s="70">
        <v>339</v>
      </c>
      <c r="N41" s="69">
        <v>3290</v>
      </c>
      <c r="O41" s="70">
        <v>389</v>
      </c>
      <c r="P41" s="69">
        <v>3620</v>
      </c>
      <c r="Q41" s="70">
        <v>439</v>
      </c>
      <c r="R41" s="69"/>
      <c r="S41" s="70">
        <v>489</v>
      </c>
      <c r="T41" s="69"/>
      <c r="U41" s="70">
        <v>539</v>
      </c>
      <c r="V41" s="69"/>
      <c r="W41" s="70">
        <v>589</v>
      </c>
      <c r="X41" s="71"/>
      <c r="Y41" s="67"/>
      <c r="Z41" s="69"/>
      <c r="AA41" s="69"/>
      <c r="AB41" s="67"/>
    </row>
    <row r="42" spans="1:28" ht="15.75" customHeight="1" x14ac:dyDescent="0.15">
      <c r="A42" s="68">
        <v>40</v>
      </c>
      <c r="B42" s="69">
        <v>300</v>
      </c>
      <c r="C42" s="70">
        <v>90</v>
      </c>
      <c r="D42" s="69">
        <v>800</v>
      </c>
      <c r="E42" s="70">
        <v>140</v>
      </c>
      <c r="F42" s="69">
        <v>1300</v>
      </c>
      <c r="G42" s="70">
        <v>190</v>
      </c>
      <c r="H42" s="69">
        <v>1800</v>
      </c>
      <c r="I42" s="70">
        <v>240</v>
      </c>
      <c r="J42" s="69">
        <v>2300</v>
      </c>
      <c r="K42" s="70">
        <v>290</v>
      </c>
      <c r="L42" s="69">
        <v>2800</v>
      </c>
      <c r="M42" s="70">
        <v>340</v>
      </c>
      <c r="N42" s="69">
        <v>3300</v>
      </c>
      <c r="O42" s="70">
        <v>390</v>
      </c>
      <c r="P42" s="69">
        <v>3620</v>
      </c>
      <c r="Q42" s="70">
        <v>440</v>
      </c>
      <c r="R42" s="69"/>
      <c r="S42" s="70">
        <v>490</v>
      </c>
      <c r="T42" s="69"/>
      <c r="U42" s="70">
        <v>540</v>
      </c>
      <c r="V42" s="69"/>
      <c r="W42" s="70">
        <v>590</v>
      </c>
      <c r="X42" s="71"/>
      <c r="Y42" s="67"/>
      <c r="Z42" s="69"/>
      <c r="AA42" s="69"/>
      <c r="AB42" s="67"/>
    </row>
    <row r="43" spans="1:28" ht="15.75" customHeight="1" x14ac:dyDescent="0.15">
      <c r="A43" s="68">
        <v>41</v>
      </c>
      <c r="B43" s="69">
        <v>310</v>
      </c>
      <c r="C43" s="70">
        <v>91</v>
      </c>
      <c r="D43" s="69">
        <v>810</v>
      </c>
      <c r="E43" s="70">
        <v>141</v>
      </c>
      <c r="F43" s="69">
        <v>1310</v>
      </c>
      <c r="G43" s="70">
        <v>191</v>
      </c>
      <c r="H43" s="69">
        <v>1810</v>
      </c>
      <c r="I43" s="70">
        <v>241</v>
      </c>
      <c r="J43" s="69">
        <v>2310</v>
      </c>
      <c r="K43" s="70">
        <v>291</v>
      </c>
      <c r="L43" s="69">
        <v>2810</v>
      </c>
      <c r="M43" s="70">
        <v>341</v>
      </c>
      <c r="N43" s="69">
        <v>3310</v>
      </c>
      <c r="O43" s="70">
        <v>391</v>
      </c>
      <c r="P43" s="69">
        <v>3620</v>
      </c>
      <c r="Q43" s="70">
        <v>441</v>
      </c>
      <c r="R43" s="69"/>
      <c r="S43" s="70">
        <v>491</v>
      </c>
      <c r="T43" s="69"/>
      <c r="U43" s="70">
        <v>541</v>
      </c>
      <c r="V43" s="69"/>
      <c r="W43" s="70">
        <v>591</v>
      </c>
      <c r="X43" s="71"/>
      <c r="Y43" s="67"/>
      <c r="Z43" s="69"/>
      <c r="AA43" s="69"/>
      <c r="AB43" s="67"/>
    </row>
    <row r="44" spans="1:28" ht="15.75" customHeight="1" x14ac:dyDescent="0.15">
      <c r="A44" s="68">
        <v>42</v>
      </c>
      <c r="B44" s="69">
        <v>320</v>
      </c>
      <c r="C44" s="70">
        <v>92</v>
      </c>
      <c r="D44" s="69">
        <v>820</v>
      </c>
      <c r="E44" s="70">
        <v>142</v>
      </c>
      <c r="F44" s="69">
        <v>1320</v>
      </c>
      <c r="G44" s="70">
        <v>192</v>
      </c>
      <c r="H44" s="69">
        <v>1820</v>
      </c>
      <c r="I44" s="70">
        <v>242</v>
      </c>
      <c r="J44" s="69">
        <v>2320</v>
      </c>
      <c r="K44" s="70">
        <v>292</v>
      </c>
      <c r="L44" s="69">
        <v>2820</v>
      </c>
      <c r="M44" s="70">
        <v>342</v>
      </c>
      <c r="N44" s="69">
        <v>3320</v>
      </c>
      <c r="O44" s="70">
        <v>392</v>
      </c>
      <c r="P44" s="69">
        <v>3620</v>
      </c>
      <c r="Q44" s="70">
        <v>442</v>
      </c>
      <c r="R44" s="69"/>
      <c r="S44" s="70">
        <v>492</v>
      </c>
      <c r="T44" s="69"/>
      <c r="U44" s="70">
        <v>542</v>
      </c>
      <c r="V44" s="69"/>
      <c r="W44" s="70">
        <v>592</v>
      </c>
      <c r="X44" s="71"/>
      <c r="Y44" s="67"/>
      <c r="Z44" s="69"/>
      <c r="AA44" s="69"/>
      <c r="AB44" s="67"/>
    </row>
    <row r="45" spans="1:28" ht="15.75" customHeight="1" x14ac:dyDescent="0.15">
      <c r="A45" s="68">
        <v>43</v>
      </c>
      <c r="B45" s="69">
        <v>330</v>
      </c>
      <c r="C45" s="70">
        <v>93</v>
      </c>
      <c r="D45" s="69">
        <v>830</v>
      </c>
      <c r="E45" s="70">
        <v>143</v>
      </c>
      <c r="F45" s="69">
        <v>1330</v>
      </c>
      <c r="G45" s="70">
        <v>193</v>
      </c>
      <c r="H45" s="69">
        <v>1830</v>
      </c>
      <c r="I45" s="70">
        <v>243</v>
      </c>
      <c r="J45" s="69">
        <v>2330</v>
      </c>
      <c r="K45" s="70">
        <v>293</v>
      </c>
      <c r="L45" s="69">
        <v>2830</v>
      </c>
      <c r="M45" s="70">
        <v>343</v>
      </c>
      <c r="N45" s="69">
        <v>3330</v>
      </c>
      <c r="O45" s="70">
        <v>393</v>
      </c>
      <c r="P45" s="69">
        <v>3620</v>
      </c>
      <c r="Q45" s="70">
        <v>443</v>
      </c>
      <c r="R45" s="69"/>
      <c r="S45" s="70">
        <v>493</v>
      </c>
      <c r="T45" s="69"/>
      <c r="U45" s="70">
        <v>543</v>
      </c>
      <c r="V45" s="69"/>
      <c r="W45" s="70">
        <v>593</v>
      </c>
      <c r="X45" s="71"/>
      <c r="Y45" s="67"/>
      <c r="Z45" s="69"/>
      <c r="AA45" s="69"/>
      <c r="AB45" s="67"/>
    </row>
    <row r="46" spans="1:28" ht="15.75" customHeight="1" x14ac:dyDescent="0.15">
      <c r="A46" s="68">
        <v>44</v>
      </c>
      <c r="B46" s="69">
        <v>340</v>
      </c>
      <c r="C46" s="70">
        <v>94</v>
      </c>
      <c r="D46" s="69">
        <v>840</v>
      </c>
      <c r="E46" s="70">
        <v>144</v>
      </c>
      <c r="F46" s="69">
        <v>1340</v>
      </c>
      <c r="G46" s="70">
        <v>194</v>
      </c>
      <c r="H46" s="69">
        <v>1840</v>
      </c>
      <c r="I46" s="70">
        <v>244</v>
      </c>
      <c r="J46" s="69">
        <v>2340</v>
      </c>
      <c r="K46" s="70">
        <v>294</v>
      </c>
      <c r="L46" s="69">
        <v>2840</v>
      </c>
      <c r="M46" s="70">
        <v>344</v>
      </c>
      <c r="N46" s="69">
        <v>3340</v>
      </c>
      <c r="O46" s="70">
        <v>394</v>
      </c>
      <c r="P46" s="69">
        <v>3620</v>
      </c>
      <c r="Q46" s="70">
        <v>444</v>
      </c>
      <c r="R46" s="69"/>
      <c r="S46" s="70">
        <v>494</v>
      </c>
      <c r="T46" s="69"/>
      <c r="U46" s="70">
        <v>544</v>
      </c>
      <c r="V46" s="69"/>
      <c r="W46" s="70">
        <v>594</v>
      </c>
      <c r="X46" s="71"/>
      <c r="Y46" s="67"/>
      <c r="Z46" s="69"/>
      <c r="AA46" s="69"/>
      <c r="AB46" s="67"/>
    </row>
    <row r="47" spans="1:28" ht="15.75" customHeight="1" x14ac:dyDescent="0.15">
      <c r="A47" s="68">
        <v>45</v>
      </c>
      <c r="B47" s="69">
        <v>350</v>
      </c>
      <c r="C47" s="70">
        <v>95</v>
      </c>
      <c r="D47" s="69">
        <v>850</v>
      </c>
      <c r="E47" s="70">
        <v>145</v>
      </c>
      <c r="F47" s="69">
        <v>1350</v>
      </c>
      <c r="G47" s="70">
        <v>195</v>
      </c>
      <c r="H47" s="69">
        <v>1850</v>
      </c>
      <c r="I47" s="70">
        <v>245</v>
      </c>
      <c r="J47" s="69">
        <v>2350</v>
      </c>
      <c r="K47" s="70">
        <v>295</v>
      </c>
      <c r="L47" s="69">
        <v>2850</v>
      </c>
      <c r="M47" s="70">
        <v>345</v>
      </c>
      <c r="N47" s="69">
        <v>3350</v>
      </c>
      <c r="O47" s="70">
        <v>395</v>
      </c>
      <c r="P47" s="69">
        <v>3620</v>
      </c>
      <c r="Q47" s="70">
        <v>445</v>
      </c>
      <c r="R47" s="69">
        <v>7800</v>
      </c>
      <c r="S47" s="70">
        <v>495</v>
      </c>
      <c r="T47" s="69"/>
      <c r="U47" s="70">
        <v>545</v>
      </c>
      <c r="V47" s="69"/>
      <c r="W47" s="70">
        <v>595</v>
      </c>
      <c r="X47" s="71"/>
      <c r="Y47" s="67"/>
      <c r="Z47" s="69"/>
      <c r="AA47" s="69"/>
      <c r="AB47" s="67"/>
    </row>
    <row r="48" spans="1:28" ht="15.75" customHeight="1" x14ac:dyDescent="0.15">
      <c r="A48" s="68">
        <v>46</v>
      </c>
      <c r="B48" s="69">
        <v>360</v>
      </c>
      <c r="C48" s="70">
        <v>96</v>
      </c>
      <c r="D48" s="69">
        <v>860</v>
      </c>
      <c r="E48" s="70">
        <v>146</v>
      </c>
      <c r="F48" s="69">
        <v>1360</v>
      </c>
      <c r="G48" s="70">
        <v>196</v>
      </c>
      <c r="H48" s="69">
        <v>1860</v>
      </c>
      <c r="I48" s="70">
        <v>246</v>
      </c>
      <c r="J48" s="69">
        <v>2360</v>
      </c>
      <c r="K48" s="70">
        <v>296</v>
      </c>
      <c r="L48" s="69">
        <v>2860</v>
      </c>
      <c r="M48" s="70">
        <v>346</v>
      </c>
      <c r="N48" s="69">
        <v>3360</v>
      </c>
      <c r="O48" s="70">
        <v>396</v>
      </c>
      <c r="P48" s="69">
        <v>3620</v>
      </c>
      <c r="Q48" s="70">
        <v>446</v>
      </c>
      <c r="R48" s="69"/>
      <c r="S48" s="70">
        <v>496</v>
      </c>
      <c r="T48" s="69"/>
      <c r="U48" s="70">
        <v>546</v>
      </c>
      <c r="V48" s="69"/>
      <c r="W48" s="70">
        <v>596</v>
      </c>
      <c r="X48" s="71"/>
      <c r="Y48" s="67"/>
      <c r="Z48" s="67"/>
      <c r="AA48" s="67"/>
      <c r="AB48" s="67"/>
    </row>
    <row r="49" spans="1:28" ht="15.75" customHeight="1" x14ac:dyDescent="0.15">
      <c r="A49" s="68">
        <v>47</v>
      </c>
      <c r="B49" s="69">
        <v>370</v>
      </c>
      <c r="C49" s="70">
        <v>97</v>
      </c>
      <c r="D49" s="69">
        <v>870</v>
      </c>
      <c r="E49" s="70">
        <v>147</v>
      </c>
      <c r="F49" s="69">
        <v>1370</v>
      </c>
      <c r="G49" s="70">
        <v>197</v>
      </c>
      <c r="H49" s="69">
        <v>1870</v>
      </c>
      <c r="I49" s="70">
        <v>247</v>
      </c>
      <c r="J49" s="69">
        <v>2370</v>
      </c>
      <c r="K49" s="70">
        <v>297</v>
      </c>
      <c r="L49" s="69">
        <v>2870</v>
      </c>
      <c r="M49" s="70">
        <v>347</v>
      </c>
      <c r="N49" s="69">
        <v>3370</v>
      </c>
      <c r="O49" s="70">
        <v>397</v>
      </c>
      <c r="P49" s="69">
        <v>3620</v>
      </c>
      <c r="Q49" s="70">
        <v>447</v>
      </c>
      <c r="R49" s="69"/>
      <c r="S49" s="70">
        <v>497</v>
      </c>
      <c r="T49" s="69"/>
      <c r="U49" s="70">
        <v>547</v>
      </c>
      <c r="V49" s="69"/>
      <c r="W49" s="70">
        <v>597</v>
      </c>
      <c r="X49" s="71"/>
      <c r="Y49" s="67"/>
      <c r="Z49" s="67"/>
      <c r="AA49" s="67"/>
      <c r="AB49" s="67"/>
    </row>
    <row r="50" spans="1:28" ht="15.75" customHeight="1" x14ac:dyDescent="0.15">
      <c r="A50" s="68">
        <v>48</v>
      </c>
      <c r="B50" s="69">
        <v>380</v>
      </c>
      <c r="C50" s="70">
        <v>98</v>
      </c>
      <c r="D50" s="69">
        <v>880</v>
      </c>
      <c r="E50" s="70">
        <v>148</v>
      </c>
      <c r="F50" s="69">
        <v>1380</v>
      </c>
      <c r="G50" s="70">
        <v>198</v>
      </c>
      <c r="H50" s="69">
        <v>1880</v>
      </c>
      <c r="I50" s="70">
        <v>248</v>
      </c>
      <c r="J50" s="69">
        <v>2380</v>
      </c>
      <c r="K50" s="70">
        <v>298</v>
      </c>
      <c r="L50" s="69">
        <v>2880</v>
      </c>
      <c r="M50" s="70">
        <v>348</v>
      </c>
      <c r="N50" s="69">
        <v>3380</v>
      </c>
      <c r="O50" s="70">
        <v>398</v>
      </c>
      <c r="P50" s="69">
        <v>3620</v>
      </c>
      <c r="Q50" s="70">
        <v>448</v>
      </c>
      <c r="R50" s="69"/>
      <c r="S50" s="70">
        <v>498</v>
      </c>
      <c r="T50" s="69"/>
      <c r="U50" s="70">
        <v>548</v>
      </c>
      <c r="V50" s="69"/>
      <c r="W50" s="70">
        <v>598</v>
      </c>
      <c r="X50" s="71"/>
      <c r="Y50" s="67"/>
      <c r="Z50" s="67"/>
      <c r="AA50" s="67"/>
      <c r="AB50" s="67"/>
    </row>
    <row r="51" spans="1:28" ht="15.75" customHeight="1" x14ac:dyDescent="0.15">
      <c r="A51" s="68">
        <v>49</v>
      </c>
      <c r="B51" s="69">
        <v>390</v>
      </c>
      <c r="C51" s="70">
        <v>99</v>
      </c>
      <c r="D51" s="69">
        <v>890</v>
      </c>
      <c r="E51" s="70">
        <v>149</v>
      </c>
      <c r="F51" s="69">
        <v>1390</v>
      </c>
      <c r="G51" s="70">
        <v>199</v>
      </c>
      <c r="H51" s="69">
        <v>1890</v>
      </c>
      <c r="I51" s="70">
        <v>249</v>
      </c>
      <c r="J51" s="69">
        <v>2390</v>
      </c>
      <c r="K51" s="70">
        <v>299</v>
      </c>
      <c r="L51" s="69">
        <v>2890</v>
      </c>
      <c r="M51" s="70">
        <v>349</v>
      </c>
      <c r="N51" s="69">
        <v>3390</v>
      </c>
      <c r="O51" s="70">
        <v>399</v>
      </c>
      <c r="P51" s="69">
        <v>3620</v>
      </c>
      <c r="Q51" s="70">
        <v>449</v>
      </c>
      <c r="R51" s="69">
        <v>8500</v>
      </c>
      <c r="S51" s="70">
        <v>499</v>
      </c>
      <c r="T51" s="69"/>
      <c r="U51" s="70">
        <v>549</v>
      </c>
      <c r="V51" s="69"/>
      <c r="W51" s="70">
        <v>599</v>
      </c>
      <c r="X51" s="71"/>
      <c r="Y51" s="67"/>
      <c r="Z51" s="67"/>
      <c r="AA51" s="67"/>
      <c r="AB51" s="67"/>
    </row>
    <row r="52" spans="1:28" ht="15.75" customHeight="1" x14ac:dyDescent="0.15">
      <c r="A52" s="72">
        <v>50</v>
      </c>
      <c r="B52" s="73">
        <v>400</v>
      </c>
      <c r="C52" s="74">
        <v>100</v>
      </c>
      <c r="D52" s="73">
        <v>900</v>
      </c>
      <c r="E52" s="74">
        <v>150</v>
      </c>
      <c r="F52" s="73">
        <v>1400</v>
      </c>
      <c r="G52" s="74">
        <v>200</v>
      </c>
      <c r="H52" s="73">
        <v>1900</v>
      </c>
      <c r="I52" s="74">
        <v>250</v>
      </c>
      <c r="J52" s="73">
        <v>2400</v>
      </c>
      <c r="K52" s="74">
        <v>300</v>
      </c>
      <c r="L52" s="73">
        <v>2900</v>
      </c>
      <c r="M52" s="74">
        <v>350</v>
      </c>
      <c r="N52" s="73">
        <v>3400</v>
      </c>
      <c r="O52" s="74">
        <v>400</v>
      </c>
      <c r="P52" s="73">
        <v>3800</v>
      </c>
      <c r="Q52" s="74">
        <v>450</v>
      </c>
      <c r="R52" s="73"/>
      <c r="S52" s="74">
        <v>500</v>
      </c>
      <c r="T52" s="73"/>
      <c r="U52" s="74">
        <v>550</v>
      </c>
      <c r="V52" s="73"/>
      <c r="W52" s="74">
        <v>600</v>
      </c>
      <c r="X52" s="75"/>
      <c r="Y52" s="67"/>
      <c r="Z52" s="67"/>
      <c r="AA52" s="67"/>
      <c r="AB52" s="67"/>
    </row>
    <row r="53" spans="1:28" ht="15.75" customHeight="1" x14ac:dyDescent="0.1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</row>
    <row r="54" spans="1:28" ht="15.75" customHeight="1" x14ac:dyDescent="0.1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</row>
    <row r="55" spans="1:28" ht="15.75" customHeight="1" x14ac:dyDescent="0.1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</row>
    <row r="56" spans="1:28" ht="15.75" customHeight="1" x14ac:dyDescent="0.1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spans="1:28" ht="15.75" customHeight="1" x14ac:dyDescent="0.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</row>
    <row r="58" spans="1:28" ht="15.75" customHeight="1" x14ac:dyDescent="0.1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</row>
    <row r="59" spans="1:28" ht="15.75" customHeight="1" x14ac:dyDescent="0.1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</row>
    <row r="60" spans="1:28" ht="15.75" customHeight="1" x14ac:dyDescent="0.1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</row>
    <row r="61" spans="1:28" ht="15.75" customHeight="1" x14ac:dyDescent="0.1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</row>
    <row r="62" spans="1:28" ht="15.75" customHeight="1" x14ac:dyDescent="0.1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</row>
    <row r="63" spans="1:28" ht="15.75" customHeight="1" x14ac:dyDescent="0.1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</row>
    <row r="64" spans="1:28" ht="15.75" customHeight="1" x14ac:dyDescent="0.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</row>
    <row r="65" spans="1:28" ht="15.75" customHeight="1" x14ac:dyDescent="0.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</row>
    <row r="66" spans="1:28" ht="15.75" customHeight="1" x14ac:dyDescent="0.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</row>
    <row r="67" spans="1:28" ht="15.75" customHeight="1" x14ac:dyDescent="0.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</row>
    <row r="68" spans="1:28" ht="15.75" customHeight="1" x14ac:dyDescent="0.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</row>
    <row r="69" spans="1:28" ht="15.75" customHeight="1" x14ac:dyDescent="0.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</row>
    <row r="70" spans="1:28" ht="15.75" customHeight="1" x14ac:dyDescent="0.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</row>
    <row r="71" spans="1:28" ht="15.75" customHeight="1" x14ac:dyDescent="0.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</row>
    <row r="72" spans="1:28" ht="15.75" customHeight="1" x14ac:dyDescent="0.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spans="1:28" ht="15.75" customHeight="1" x14ac:dyDescent="0.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</row>
    <row r="74" spans="1:28" ht="15.75" customHeight="1" x14ac:dyDescent="0.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</row>
    <row r="75" spans="1:28" ht="15.75" customHeight="1" x14ac:dyDescent="0.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</row>
    <row r="76" spans="1:28" ht="15.75" customHeight="1" x14ac:dyDescent="0.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</row>
    <row r="77" spans="1:28" ht="15.75" customHeight="1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</row>
    <row r="78" spans="1:28" ht="15.75" customHeight="1" x14ac:dyDescent="0.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</row>
    <row r="79" spans="1:28" ht="15.75" customHeight="1" x14ac:dyDescent="0.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</row>
    <row r="80" spans="1:28" ht="15.75" customHeight="1" x14ac:dyDescent="0.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</row>
    <row r="81" spans="1:28" ht="15.75" customHeight="1" x14ac:dyDescent="0.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</row>
    <row r="82" spans="1:28" ht="15.75" customHeight="1" x14ac:dyDescent="0.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</row>
    <row r="83" spans="1:28" ht="15.75" customHeight="1" x14ac:dyDescent="0.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</row>
    <row r="84" spans="1:28" ht="15.75" customHeight="1" x14ac:dyDescent="0.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</row>
    <row r="85" spans="1:28" ht="15.75" customHeight="1" x14ac:dyDescent="0.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</row>
    <row r="86" spans="1:28" ht="15.75" customHeight="1" x14ac:dyDescent="0.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</row>
    <row r="87" spans="1:28" ht="15.75" customHeight="1" x14ac:dyDescent="0.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</row>
    <row r="88" spans="1:28" ht="15.75" customHeight="1" x14ac:dyDescent="0.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</row>
    <row r="89" spans="1:28" ht="15.75" customHeight="1" x14ac:dyDescent="0.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</row>
    <row r="90" spans="1:28" ht="15.75" customHeight="1" x14ac:dyDescent="0.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</row>
    <row r="91" spans="1:28" ht="15.75" customHeight="1" x14ac:dyDescent="0.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</row>
    <row r="92" spans="1:28" ht="15.75" customHeight="1" x14ac:dyDescent="0.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</row>
    <row r="93" spans="1:28" ht="15.75" customHeight="1" x14ac:dyDescent="0.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</row>
    <row r="94" spans="1:28" ht="15.75" customHeight="1" x14ac:dyDescent="0.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</row>
    <row r="95" spans="1:28" ht="15.75" customHeight="1" x14ac:dyDescent="0.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</row>
    <row r="96" spans="1:28" ht="15.75" customHeight="1" x14ac:dyDescent="0.1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</row>
    <row r="97" spans="1:28" ht="15.75" customHeight="1" x14ac:dyDescent="0.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</row>
    <row r="98" spans="1:28" ht="15.75" customHeight="1" x14ac:dyDescent="0.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</row>
    <row r="99" spans="1:28" ht="15.75" customHeight="1" x14ac:dyDescent="0.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</row>
    <row r="100" spans="1:28" ht="15.75" customHeight="1" x14ac:dyDescent="0.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</row>
    <row r="101" spans="1:28" ht="15.75" customHeight="1" x14ac:dyDescent="0.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</row>
    <row r="102" spans="1:28" ht="15.75" customHeight="1" x14ac:dyDescent="0.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</row>
    <row r="103" spans="1:28" ht="15.75" customHeight="1" x14ac:dyDescent="0.1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</row>
    <row r="104" spans="1:28" ht="15.75" customHeight="1" x14ac:dyDescent="0.1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</row>
    <row r="105" spans="1:28" ht="15.75" customHeight="1" x14ac:dyDescent="0.1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</row>
    <row r="106" spans="1:28" ht="15.75" customHeight="1" x14ac:dyDescent="0.1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</row>
    <row r="107" spans="1:28" ht="15.75" customHeight="1" x14ac:dyDescent="0.1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</row>
    <row r="108" spans="1:28" ht="15.75" customHeight="1" x14ac:dyDescent="0.1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</row>
    <row r="109" spans="1:28" ht="15.75" customHeight="1" x14ac:dyDescent="0.1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</row>
    <row r="110" spans="1:28" ht="15.75" customHeight="1" x14ac:dyDescent="0.1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</row>
    <row r="111" spans="1:28" ht="15.75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</row>
    <row r="112" spans="1:28" ht="15.75" customHeight="1" x14ac:dyDescent="0.1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</row>
    <row r="113" spans="1:28" ht="15.75" customHeight="1" x14ac:dyDescent="0.1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</row>
    <row r="114" spans="1:28" ht="15.75" customHeight="1" x14ac:dyDescent="0.1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</row>
    <row r="115" spans="1:28" ht="15.75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</row>
    <row r="116" spans="1:28" ht="15.75" customHeight="1" x14ac:dyDescent="0.1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</row>
    <row r="117" spans="1:28" ht="15.75" customHeight="1" x14ac:dyDescent="0.1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</row>
    <row r="118" spans="1:28" ht="15.75" customHeight="1" x14ac:dyDescent="0.1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</row>
    <row r="119" spans="1:28" ht="15.75" customHeight="1" x14ac:dyDescent="0.1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</row>
    <row r="120" spans="1:28" ht="15.75" customHeight="1" x14ac:dyDescent="0.1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</row>
    <row r="121" spans="1:28" ht="15.75" customHeight="1" x14ac:dyDescent="0.1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</row>
    <row r="122" spans="1:28" ht="15.75" customHeight="1" x14ac:dyDescent="0.1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</row>
    <row r="123" spans="1:28" ht="15.75" customHeight="1" x14ac:dyDescent="0.1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</row>
    <row r="124" spans="1:28" ht="15.75" customHeight="1" x14ac:dyDescent="0.1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</row>
    <row r="125" spans="1:28" ht="15.75" customHeight="1" x14ac:dyDescent="0.1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</row>
    <row r="126" spans="1:28" ht="15.75" customHeight="1" x14ac:dyDescent="0.1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</row>
    <row r="127" spans="1:28" ht="15.75" customHeight="1" x14ac:dyDescent="0.1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</row>
    <row r="128" spans="1:28" ht="15.75" customHeight="1" x14ac:dyDescent="0.1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</row>
    <row r="129" spans="1:28" ht="15.75" customHeight="1" x14ac:dyDescent="0.1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</row>
    <row r="130" spans="1:28" ht="15.75" customHeight="1" x14ac:dyDescent="0.1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</row>
    <row r="131" spans="1:28" ht="15.75" customHeight="1" x14ac:dyDescent="0.1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</row>
    <row r="132" spans="1:28" ht="15.75" customHeight="1" x14ac:dyDescent="0.1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</row>
    <row r="133" spans="1:28" ht="15.75" customHeight="1" x14ac:dyDescent="0.1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</row>
    <row r="134" spans="1:28" ht="15.75" customHeight="1" x14ac:dyDescent="0.1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</row>
    <row r="135" spans="1:28" ht="15.75" customHeight="1" x14ac:dyDescent="0.1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</row>
    <row r="136" spans="1:28" ht="15.75" customHeight="1" x14ac:dyDescent="0.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</row>
    <row r="137" spans="1:28" ht="15.75" customHeight="1" x14ac:dyDescent="0.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</row>
    <row r="138" spans="1:28" ht="15.75" customHeight="1" x14ac:dyDescent="0.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</row>
    <row r="139" spans="1:28" ht="15.75" customHeight="1" x14ac:dyDescent="0.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</row>
    <row r="140" spans="1:28" ht="15.75" customHeight="1" x14ac:dyDescent="0.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</row>
    <row r="141" spans="1:28" ht="15.75" customHeight="1" x14ac:dyDescent="0.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</row>
    <row r="142" spans="1:28" ht="15.75" customHeight="1" x14ac:dyDescent="0.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</row>
    <row r="143" spans="1:28" ht="15.75" customHeight="1" x14ac:dyDescent="0.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</row>
    <row r="144" spans="1:28" ht="15.75" customHeight="1" x14ac:dyDescent="0.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</row>
    <row r="145" spans="1:28" ht="15.75" customHeight="1" x14ac:dyDescent="0.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</row>
    <row r="146" spans="1:28" ht="15.75" customHeight="1" x14ac:dyDescent="0.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</row>
    <row r="147" spans="1:28" ht="15.75" customHeight="1" x14ac:dyDescent="0.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</row>
    <row r="148" spans="1:28" ht="15.75" customHeight="1" x14ac:dyDescent="0.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</row>
    <row r="149" spans="1:28" ht="15.75" customHeight="1" x14ac:dyDescent="0.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</row>
    <row r="150" spans="1:28" ht="15.75" customHeight="1" x14ac:dyDescent="0.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</row>
    <row r="151" spans="1:28" ht="15.75" customHeight="1" x14ac:dyDescent="0.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</row>
    <row r="152" spans="1:28" ht="15.75" customHeight="1" x14ac:dyDescent="0.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</row>
    <row r="153" spans="1:28" ht="15.75" customHeight="1" x14ac:dyDescent="0.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</row>
    <row r="154" spans="1:28" ht="15.75" customHeight="1" x14ac:dyDescent="0.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</row>
    <row r="155" spans="1:28" ht="15.75" customHeight="1" x14ac:dyDescent="0.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</row>
    <row r="156" spans="1:28" ht="15.75" customHeight="1" x14ac:dyDescent="0.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</row>
    <row r="157" spans="1:28" ht="15.75" customHeight="1" x14ac:dyDescent="0.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</row>
    <row r="158" spans="1:28" ht="15.75" customHeight="1" x14ac:dyDescent="0.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</row>
    <row r="159" spans="1:28" ht="15.75" customHeight="1" x14ac:dyDescent="0.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</row>
    <row r="160" spans="1:28" ht="15.75" customHeight="1" x14ac:dyDescent="0.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</row>
    <row r="161" spans="1:28" ht="15.75" customHeight="1" x14ac:dyDescent="0.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</row>
    <row r="162" spans="1:28" ht="15.75" customHeight="1" x14ac:dyDescent="0.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</row>
    <row r="163" spans="1:28" ht="15.75" customHeight="1" x14ac:dyDescent="0.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</row>
    <row r="164" spans="1:28" ht="15.75" customHeight="1" x14ac:dyDescent="0.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</row>
    <row r="165" spans="1:28" ht="15.75" customHeight="1" x14ac:dyDescent="0.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</row>
    <row r="166" spans="1:28" ht="15.75" customHeight="1" x14ac:dyDescent="0.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</row>
    <row r="167" spans="1:28" ht="15.75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</row>
    <row r="168" spans="1:28" ht="15.75" customHeight="1" x14ac:dyDescent="0.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</row>
    <row r="169" spans="1:28" ht="15.75" customHeight="1" x14ac:dyDescent="0.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</row>
    <row r="170" spans="1:28" ht="15.75" customHeight="1" x14ac:dyDescent="0.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</row>
    <row r="171" spans="1:28" ht="15.75" customHeight="1" x14ac:dyDescent="0.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</row>
    <row r="172" spans="1:28" ht="15.75" customHeight="1" x14ac:dyDescent="0.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</row>
    <row r="173" spans="1:28" ht="15.75" customHeight="1" x14ac:dyDescent="0.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</row>
    <row r="174" spans="1:28" ht="15.75" customHeight="1" x14ac:dyDescent="0.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</row>
    <row r="175" spans="1:28" ht="15.75" customHeight="1" x14ac:dyDescent="0.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</row>
    <row r="176" spans="1:28" ht="15.75" customHeight="1" x14ac:dyDescent="0.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</row>
    <row r="177" spans="1:28" ht="15.75" customHeight="1" x14ac:dyDescent="0.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</row>
    <row r="178" spans="1:28" ht="15.75" customHeight="1" x14ac:dyDescent="0.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</row>
    <row r="179" spans="1:28" ht="15.75" customHeight="1" x14ac:dyDescent="0.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</row>
    <row r="180" spans="1:28" ht="15.75" customHeight="1" x14ac:dyDescent="0.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</row>
    <row r="181" spans="1:28" ht="15.75" customHeight="1" x14ac:dyDescent="0.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</row>
    <row r="182" spans="1:28" ht="15.75" customHeight="1" x14ac:dyDescent="0.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</row>
    <row r="183" spans="1:28" ht="15.75" customHeight="1" x14ac:dyDescent="0.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</row>
    <row r="184" spans="1:28" ht="15.75" customHeight="1" x14ac:dyDescent="0.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</row>
    <row r="185" spans="1:28" ht="15.75" customHeight="1" x14ac:dyDescent="0.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</row>
    <row r="186" spans="1:28" ht="15.75" customHeight="1" x14ac:dyDescent="0.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</row>
    <row r="187" spans="1:28" ht="15.75" customHeight="1" x14ac:dyDescent="0.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</row>
    <row r="188" spans="1:28" ht="15.75" customHeight="1" x14ac:dyDescent="0.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</row>
    <row r="189" spans="1:28" ht="15.75" customHeight="1" x14ac:dyDescent="0.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</row>
    <row r="190" spans="1:28" ht="15.75" customHeight="1" x14ac:dyDescent="0.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</row>
    <row r="191" spans="1:28" ht="15.75" customHeight="1" x14ac:dyDescent="0.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</row>
    <row r="192" spans="1:28" ht="15.75" customHeight="1" x14ac:dyDescent="0.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</row>
    <row r="193" spans="1:28" ht="15.75" customHeight="1" x14ac:dyDescent="0.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</row>
    <row r="194" spans="1:28" ht="15.75" customHeight="1" x14ac:dyDescent="0.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</row>
    <row r="195" spans="1:28" ht="15.75" customHeight="1" x14ac:dyDescent="0.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</row>
    <row r="196" spans="1:28" ht="15.75" customHeight="1" x14ac:dyDescent="0.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</row>
    <row r="197" spans="1:28" ht="15.75" customHeight="1" x14ac:dyDescent="0.1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</row>
    <row r="198" spans="1:28" ht="15.75" customHeight="1" x14ac:dyDescent="0.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</row>
    <row r="199" spans="1:28" ht="15.75" customHeight="1" x14ac:dyDescent="0.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</row>
    <row r="200" spans="1:28" ht="15.75" customHeight="1" x14ac:dyDescent="0.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</row>
    <row r="201" spans="1:28" ht="15.75" customHeight="1" x14ac:dyDescent="0.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</row>
    <row r="202" spans="1:28" ht="15.75" customHeight="1" x14ac:dyDescent="0.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</row>
    <row r="203" spans="1:28" ht="15.75" customHeight="1" x14ac:dyDescent="0.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</row>
    <row r="204" spans="1:28" ht="15.75" customHeight="1" x14ac:dyDescent="0.1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</row>
    <row r="205" spans="1:28" ht="15.75" customHeight="1" x14ac:dyDescent="0.1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</row>
    <row r="206" spans="1:28" ht="15.75" customHeight="1" x14ac:dyDescent="0.1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</row>
    <row r="207" spans="1:28" ht="15.75" customHeight="1" x14ac:dyDescent="0.1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</row>
    <row r="208" spans="1:28" ht="15.75" customHeight="1" x14ac:dyDescent="0.1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</row>
    <row r="209" spans="1:28" ht="15.75" customHeight="1" x14ac:dyDescent="0.1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</row>
    <row r="210" spans="1:28" ht="15.75" customHeight="1" x14ac:dyDescent="0.1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</row>
    <row r="211" spans="1:28" ht="15.75" customHeight="1" x14ac:dyDescent="0.1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</row>
    <row r="212" spans="1:28" ht="15.75" customHeight="1" x14ac:dyDescent="0.1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</row>
    <row r="213" spans="1:28" ht="15.75" customHeight="1" x14ac:dyDescent="0.1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</row>
    <row r="214" spans="1:28" ht="15.75" customHeight="1" x14ac:dyDescent="0.1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</row>
    <row r="215" spans="1:28" ht="15.75" customHeight="1" x14ac:dyDescent="0.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</row>
    <row r="216" spans="1:28" ht="15.75" customHeight="1" x14ac:dyDescent="0.1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</row>
    <row r="217" spans="1:28" ht="15.75" customHeight="1" x14ac:dyDescent="0.1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</row>
    <row r="218" spans="1:28" ht="15.75" customHeight="1" x14ac:dyDescent="0.1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</row>
    <row r="219" spans="1:28" ht="15.75" customHeight="1" x14ac:dyDescent="0.1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</row>
    <row r="220" spans="1:28" ht="15.75" customHeight="1" x14ac:dyDescent="0.1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</row>
    <row r="221" spans="1:28" ht="15.75" customHeight="1" x14ac:dyDescent="0.1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</row>
    <row r="222" spans="1:28" ht="15.75" customHeight="1" x14ac:dyDescent="0.1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</row>
    <row r="223" spans="1:28" ht="15.75" customHeight="1" x14ac:dyDescent="0.1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</row>
    <row r="224" spans="1:28" ht="15.75" customHeight="1" x14ac:dyDescent="0.1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</row>
    <row r="225" spans="1:28" ht="15.75" customHeight="1" x14ac:dyDescent="0.1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</row>
    <row r="226" spans="1:28" ht="15.75" customHeight="1" x14ac:dyDescent="0.1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</row>
    <row r="227" spans="1:28" ht="15.75" customHeight="1" x14ac:dyDescent="0.1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</row>
    <row r="228" spans="1:28" ht="15.75" customHeight="1" x14ac:dyDescent="0.1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</row>
    <row r="229" spans="1:28" ht="15.75" customHeight="1" x14ac:dyDescent="0.1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</row>
    <row r="230" spans="1:28" ht="15.75" customHeight="1" x14ac:dyDescent="0.1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</row>
    <row r="231" spans="1:28" ht="15.75" customHeight="1" x14ac:dyDescent="0.1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</row>
    <row r="232" spans="1:28" ht="15.75" customHeight="1" x14ac:dyDescent="0.1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</row>
    <row r="233" spans="1:28" ht="15.75" customHeight="1" x14ac:dyDescent="0.1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</row>
    <row r="234" spans="1:28" ht="15.75" customHeight="1" x14ac:dyDescent="0.1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</row>
    <row r="235" spans="1:28" ht="15.75" customHeight="1" x14ac:dyDescent="0.1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</row>
    <row r="236" spans="1:28" ht="15.75" customHeight="1" x14ac:dyDescent="0.1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</row>
    <row r="237" spans="1:28" ht="15.75" customHeight="1" x14ac:dyDescent="0.1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</row>
    <row r="238" spans="1:28" ht="15.75" customHeight="1" x14ac:dyDescent="0.1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</row>
    <row r="239" spans="1:28" ht="15.75" customHeight="1" x14ac:dyDescent="0.1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</row>
    <row r="240" spans="1:28" ht="15.75" customHeight="1" x14ac:dyDescent="0.1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</row>
    <row r="241" spans="1:28" ht="15.75" customHeight="1" x14ac:dyDescent="0.1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</row>
    <row r="242" spans="1:28" ht="15.75" customHeight="1" x14ac:dyDescent="0.1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</row>
    <row r="243" spans="1:28" ht="15.75" customHeight="1" x14ac:dyDescent="0.1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</row>
    <row r="244" spans="1:28" ht="15.75" customHeight="1" x14ac:dyDescent="0.1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</row>
    <row r="245" spans="1:28" ht="15.75" customHeight="1" x14ac:dyDescent="0.1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</row>
    <row r="246" spans="1:28" ht="15.75" customHeight="1" x14ac:dyDescent="0.1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</row>
    <row r="247" spans="1:28" ht="15.75" customHeight="1" x14ac:dyDescent="0.15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</row>
    <row r="248" spans="1:28" ht="15.75" customHeight="1" x14ac:dyDescent="0.15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</row>
    <row r="249" spans="1:28" ht="15.75" customHeight="1" x14ac:dyDescent="0.15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</row>
    <row r="250" spans="1:28" ht="15.75" customHeight="1" x14ac:dyDescent="0.15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</row>
    <row r="251" spans="1:28" ht="15.75" customHeight="1" x14ac:dyDescent="0.15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</row>
    <row r="252" spans="1:28" ht="15.75" customHeight="1" x14ac:dyDescent="0.15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</row>
    <row r="253" spans="1:28" ht="15.75" customHeight="1" x14ac:dyDescent="0.15"/>
    <row r="254" spans="1:28" ht="15.75" customHeight="1" x14ac:dyDescent="0.15"/>
    <row r="255" spans="1:28" ht="15.75" customHeight="1" x14ac:dyDescent="0.15"/>
    <row r="256" spans="1:28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000"/>
  <sheetViews>
    <sheetView workbookViewId="0"/>
  </sheetViews>
  <sheetFormatPr baseColWidth="10" defaultColWidth="12.6640625" defaultRowHeight="15" customHeight="1" x14ac:dyDescent="0.15"/>
  <cols>
    <col min="1" max="1" width="2.33203125" customWidth="1"/>
    <col min="2" max="2" width="5.5" customWidth="1"/>
    <col min="3" max="3" width="13.5" customWidth="1"/>
    <col min="4" max="4" width="5.5" customWidth="1"/>
    <col min="5" max="5" width="13.5" customWidth="1"/>
    <col min="6" max="6" width="5.5" customWidth="1"/>
    <col min="7" max="7" width="13.5" customWidth="1"/>
    <col min="8" max="8" width="6.1640625" customWidth="1"/>
    <col min="9" max="9" width="8.6640625" customWidth="1"/>
    <col min="10" max="10" width="13.5" customWidth="1"/>
    <col min="11" max="20" width="6.5" customWidth="1"/>
  </cols>
  <sheetData>
    <row r="1" spans="1:20" ht="15.75" customHeight="1" x14ac:dyDescent="0.2">
      <c r="A1" s="76"/>
      <c r="B1" s="77" t="s">
        <v>101</v>
      </c>
      <c r="C1" s="76"/>
      <c r="D1" s="76"/>
      <c r="E1" s="76"/>
      <c r="F1" s="76"/>
      <c r="G1" s="76"/>
      <c r="H1" s="76"/>
      <c r="I1" s="77" t="s">
        <v>102</v>
      </c>
      <c r="J1" s="76"/>
      <c r="K1" s="76"/>
      <c r="L1" s="76"/>
      <c r="M1" s="76"/>
      <c r="N1" s="76"/>
      <c r="O1" s="76"/>
      <c r="P1" s="76"/>
      <c r="Q1" s="76"/>
      <c r="R1" s="56"/>
      <c r="S1" s="56"/>
      <c r="T1" s="56"/>
    </row>
    <row r="2" spans="1:20" ht="15.75" customHeight="1" x14ac:dyDescent="0.15">
      <c r="A2" s="76"/>
      <c r="B2" s="78" t="s">
        <v>100</v>
      </c>
      <c r="C2" s="78" t="s">
        <v>103</v>
      </c>
      <c r="D2" s="79" t="s">
        <v>100</v>
      </c>
      <c r="E2" s="79" t="s">
        <v>103</v>
      </c>
      <c r="F2" s="80" t="s">
        <v>100</v>
      </c>
      <c r="G2" s="81" t="s">
        <v>103</v>
      </c>
      <c r="H2" s="76"/>
      <c r="I2" s="82" t="s">
        <v>100</v>
      </c>
      <c r="J2" s="83" t="s">
        <v>103</v>
      </c>
      <c r="K2" s="76"/>
      <c r="L2" s="76"/>
      <c r="M2" s="76"/>
      <c r="N2" s="76"/>
      <c r="O2" s="76"/>
      <c r="P2" s="76"/>
      <c r="Q2" s="76"/>
      <c r="R2" s="67"/>
      <c r="S2" s="67"/>
      <c r="T2" s="67"/>
    </row>
    <row r="3" spans="1:20" ht="15.75" customHeight="1" x14ac:dyDescent="0.15">
      <c r="A3" s="76"/>
      <c r="B3" s="84">
        <v>1</v>
      </c>
      <c r="C3" s="85">
        <v>5</v>
      </c>
      <c r="D3" s="84">
        <v>21</v>
      </c>
      <c r="E3" s="85">
        <v>1824</v>
      </c>
      <c r="F3" s="84">
        <v>41</v>
      </c>
      <c r="G3" s="86">
        <v>7469</v>
      </c>
      <c r="H3" s="76"/>
      <c r="I3" s="84" t="s">
        <v>104</v>
      </c>
      <c r="J3" s="87">
        <f>SUM(C3:C6)</f>
        <v>147</v>
      </c>
      <c r="K3" s="76"/>
      <c r="L3" s="76"/>
      <c r="M3" s="76"/>
      <c r="N3" s="76"/>
      <c r="O3" s="76"/>
      <c r="P3" s="76"/>
      <c r="Q3" s="76"/>
      <c r="R3" s="67"/>
      <c r="S3" s="67"/>
      <c r="T3" s="67"/>
    </row>
    <row r="4" spans="1:20" ht="15.75" customHeight="1" x14ac:dyDescent="0.15">
      <c r="A4" s="76"/>
      <c r="B4" s="84">
        <v>2</v>
      </c>
      <c r="C4" s="85">
        <v>22</v>
      </c>
      <c r="D4" s="84">
        <v>22</v>
      </c>
      <c r="E4" s="85">
        <v>2009</v>
      </c>
      <c r="F4" s="84">
        <v>42</v>
      </c>
      <c r="G4" s="86">
        <v>7863</v>
      </c>
      <c r="H4" s="76"/>
      <c r="I4" s="84" t="s">
        <v>105</v>
      </c>
      <c r="J4" s="86">
        <f>SUM(C7:C11)</f>
        <v>1077</v>
      </c>
      <c r="K4" s="76"/>
      <c r="L4" s="76"/>
      <c r="M4" s="76"/>
      <c r="N4" s="76"/>
      <c r="O4" s="76"/>
      <c r="P4" s="76"/>
      <c r="Q4" s="76"/>
      <c r="R4" s="67"/>
      <c r="S4" s="67"/>
      <c r="T4" s="67"/>
    </row>
    <row r="5" spans="1:20" ht="15.75" customHeight="1" x14ac:dyDescent="0.15">
      <c r="A5" s="76"/>
      <c r="B5" s="84">
        <v>3</v>
      </c>
      <c r="C5" s="85">
        <v>45</v>
      </c>
      <c r="D5" s="84">
        <v>23</v>
      </c>
      <c r="E5" s="85">
        <v>2204</v>
      </c>
      <c r="F5" s="84">
        <v>43</v>
      </c>
      <c r="G5" s="86">
        <v>8269</v>
      </c>
      <c r="H5" s="76"/>
      <c r="I5" s="84" t="s">
        <v>106</v>
      </c>
      <c r="J5" s="86">
        <f>SUM(C12:C16)</f>
        <v>2976</v>
      </c>
      <c r="K5" s="76"/>
      <c r="L5" s="76"/>
      <c r="M5" s="76"/>
      <c r="N5" s="76"/>
      <c r="O5" s="76"/>
      <c r="P5" s="76"/>
      <c r="Q5" s="76"/>
      <c r="R5" s="67"/>
      <c r="S5" s="67"/>
      <c r="T5" s="67"/>
    </row>
    <row r="6" spans="1:20" ht="15.75" customHeight="1" x14ac:dyDescent="0.15">
      <c r="A6" s="76"/>
      <c r="B6" s="84">
        <v>4</v>
      </c>
      <c r="C6" s="85">
        <v>75</v>
      </c>
      <c r="D6" s="84">
        <v>24</v>
      </c>
      <c r="E6" s="85">
        <v>2408</v>
      </c>
      <c r="F6" s="84">
        <v>44</v>
      </c>
      <c r="G6" s="86">
        <v>8686</v>
      </c>
      <c r="H6" s="76"/>
      <c r="I6" s="84" t="s">
        <v>107</v>
      </c>
      <c r="J6" s="86">
        <f>SUM(C17:C21)</f>
        <v>5954</v>
      </c>
      <c r="K6" s="76"/>
      <c r="L6" s="76"/>
      <c r="M6" s="76"/>
      <c r="N6" s="76"/>
      <c r="O6" s="76"/>
      <c r="P6" s="76"/>
      <c r="Q6" s="76"/>
      <c r="R6" s="67"/>
      <c r="S6" s="67"/>
      <c r="T6" s="67"/>
    </row>
    <row r="7" spans="1:20" ht="15.75" customHeight="1" x14ac:dyDescent="0.15">
      <c r="A7" s="76"/>
      <c r="B7" s="84">
        <v>5</v>
      </c>
      <c r="C7" s="85">
        <v>112</v>
      </c>
      <c r="D7" s="84">
        <v>25</v>
      </c>
      <c r="E7" s="85">
        <v>2623</v>
      </c>
      <c r="F7" s="84">
        <v>45</v>
      </c>
      <c r="G7" s="86">
        <v>9115</v>
      </c>
      <c r="H7" s="76"/>
      <c r="I7" s="84" t="s">
        <v>108</v>
      </c>
      <c r="J7" s="86">
        <f>SUM(C22,E3:E6)</f>
        <v>10094</v>
      </c>
      <c r="K7" s="76"/>
      <c r="L7" s="76"/>
      <c r="M7" s="76"/>
      <c r="N7" s="76"/>
      <c r="O7" s="76"/>
      <c r="P7" s="76"/>
      <c r="Q7" s="76"/>
      <c r="R7" s="67"/>
      <c r="S7" s="67"/>
      <c r="T7" s="67"/>
    </row>
    <row r="8" spans="1:20" ht="15.75" customHeight="1" x14ac:dyDescent="0.15">
      <c r="A8" s="76"/>
      <c r="B8" s="84">
        <v>6</v>
      </c>
      <c r="C8" s="85">
        <v>156</v>
      </c>
      <c r="D8" s="84">
        <v>26</v>
      </c>
      <c r="E8" s="85">
        <v>2847</v>
      </c>
      <c r="F8" s="84">
        <v>46</v>
      </c>
      <c r="G8" s="86">
        <v>9554</v>
      </c>
      <c r="H8" s="76"/>
      <c r="I8" s="84" t="s">
        <v>109</v>
      </c>
      <c r="J8" s="86">
        <f>SUM(E7:E11)</f>
        <v>15459</v>
      </c>
      <c r="K8" s="76"/>
      <c r="L8" s="76"/>
      <c r="M8" s="76"/>
      <c r="N8" s="76"/>
      <c r="O8" s="76"/>
      <c r="P8" s="76"/>
      <c r="Q8" s="76"/>
      <c r="R8" s="67"/>
      <c r="S8" s="67"/>
      <c r="T8" s="67"/>
    </row>
    <row r="9" spans="1:20" ht="15.75" customHeight="1" x14ac:dyDescent="0.15">
      <c r="A9" s="76"/>
      <c r="B9" s="84">
        <v>7</v>
      </c>
      <c r="C9" s="85">
        <v>208</v>
      </c>
      <c r="D9" s="84">
        <v>27</v>
      </c>
      <c r="E9" s="85">
        <v>3082</v>
      </c>
      <c r="F9" s="84">
        <v>47</v>
      </c>
      <c r="G9" s="86">
        <v>10005</v>
      </c>
      <c r="H9" s="76"/>
      <c r="I9" s="88" t="s">
        <v>110</v>
      </c>
      <c r="J9" s="89">
        <f>SUM(J3:J8)</f>
        <v>35707</v>
      </c>
      <c r="K9" s="76"/>
      <c r="L9" s="76"/>
      <c r="M9" s="76"/>
      <c r="N9" s="76"/>
      <c r="O9" s="76"/>
      <c r="P9" s="76"/>
      <c r="Q9" s="76"/>
      <c r="R9" s="67"/>
      <c r="S9" s="67"/>
      <c r="T9" s="67"/>
    </row>
    <row r="10" spans="1:20" ht="15.75" customHeight="1" x14ac:dyDescent="0.15">
      <c r="A10" s="76"/>
      <c r="B10" s="84">
        <v>8</v>
      </c>
      <c r="C10" s="85">
        <v>267</v>
      </c>
      <c r="D10" s="84">
        <v>28</v>
      </c>
      <c r="E10" s="85">
        <v>3326</v>
      </c>
      <c r="F10" s="84">
        <v>48</v>
      </c>
      <c r="G10" s="86">
        <v>10467</v>
      </c>
      <c r="H10" s="76"/>
      <c r="I10" s="84" t="s">
        <v>111</v>
      </c>
      <c r="J10" s="86">
        <f>SUM(E12:E16)</f>
        <v>22098</v>
      </c>
      <c r="K10" s="76"/>
      <c r="L10" s="76"/>
      <c r="M10" s="76"/>
      <c r="N10" s="76"/>
      <c r="O10" s="76"/>
      <c r="P10" s="76"/>
      <c r="Q10" s="76"/>
      <c r="R10" s="67"/>
      <c r="S10" s="67"/>
      <c r="T10" s="67"/>
    </row>
    <row r="11" spans="1:20" ht="15.75" customHeight="1" x14ac:dyDescent="0.15">
      <c r="A11" s="76"/>
      <c r="B11" s="84">
        <v>9</v>
      </c>
      <c r="C11" s="85">
        <v>334</v>
      </c>
      <c r="D11" s="84">
        <v>29</v>
      </c>
      <c r="E11" s="85">
        <v>3581</v>
      </c>
      <c r="F11" s="84">
        <v>49</v>
      </c>
      <c r="G11" s="86">
        <v>10941</v>
      </c>
      <c r="H11" s="76"/>
      <c r="I11" s="84" t="s">
        <v>112</v>
      </c>
      <c r="J11" s="86">
        <f>SUM(E17:E21)</f>
        <v>30057</v>
      </c>
      <c r="K11" s="76"/>
      <c r="L11" s="76"/>
      <c r="M11" s="76"/>
      <c r="N11" s="76"/>
      <c r="O11" s="76"/>
      <c r="P11" s="76"/>
      <c r="Q11" s="76"/>
      <c r="R11" s="67"/>
      <c r="S11" s="67"/>
      <c r="T11" s="67"/>
    </row>
    <row r="12" spans="1:20" ht="15.75" customHeight="1" x14ac:dyDescent="0.15">
      <c r="A12" s="76"/>
      <c r="B12" s="84">
        <v>10</v>
      </c>
      <c r="C12" s="85">
        <v>410</v>
      </c>
      <c r="D12" s="84">
        <v>30</v>
      </c>
      <c r="E12" s="85">
        <v>3847</v>
      </c>
      <c r="F12" s="90">
        <v>50</v>
      </c>
      <c r="G12" s="91" t="s">
        <v>113</v>
      </c>
      <c r="H12" s="76"/>
      <c r="I12" s="84" t="s">
        <v>114</v>
      </c>
      <c r="J12" s="86">
        <f>SUM(E22,G3:G6)</f>
        <v>39372</v>
      </c>
      <c r="K12" s="76"/>
      <c r="L12" s="76"/>
      <c r="M12" s="76"/>
      <c r="N12" s="76"/>
      <c r="O12" s="76"/>
      <c r="P12" s="76"/>
      <c r="Q12" s="76"/>
      <c r="R12" s="67"/>
      <c r="S12" s="67"/>
      <c r="T12" s="67"/>
    </row>
    <row r="13" spans="1:20" ht="15.75" customHeight="1" x14ac:dyDescent="0.15">
      <c r="A13" s="76"/>
      <c r="B13" s="84">
        <v>11</v>
      </c>
      <c r="C13" s="85">
        <v>494</v>
      </c>
      <c r="D13" s="84">
        <v>31</v>
      </c>
      <c r="E13" s="85">
        <v>4123</v>
      </c>
      <c r="F13" s="92"/>
      <c r="G13" s="93"/>
      <c r="H13" s="76"/>
      <c r="I13" s="84" t="s">
        <v>115</v>
      </c>
      <c r="J13" s="86">
        <f>SUM(G7:G11)</f>
        <v>50082</v>
      </c>
      <c r="K13" s="76"/>
      <c r="L13" s="76"/>
      <c r="M13" s="76"/>
      <c r="N13" s="76"/>
      <c r="O13" s="76"/>
      <c r="P13" s="76"/>
      <c r="Q13" s="76"/>
      <c r="R13" s="67"/>
      <c r="S13" s="67"/>
      <c r="T13" s="67"/>
    </row>
    <row r="14" spans="1:20" ht="15.75" customHeight="1" x14ac:dyDescent="0.15">
      <c r="A14" s="76"/>
      <c r="B14" s="84">
        <v>12</v>
      </c>
      <c r="C14" s="85">
        <v>586</v>
      </c>
      <c r="D14" s="84">
        <v>32</v>
      </c>
      <c r="E14" s="85">
        <v>4409</v>
      </c>
      <c r="F14" s="94"/>
      <c r="G14" s="95"/>
      <c r="H14" s="76"/>
      <c r="I14" s="88" t="s">
        <v>116</v>
      </c>
      <c r="J14" s="89">
        <f>SUM(J10:J13)</f>
        <v>141609</v>
      </c>
      <c r="K14" s="76"/>
      <c r="L14" s="76"/>
      <c r="M14" s="76"/>
      <c r="N14" s="76"/>
      <c r="O14" s="76"/>
      <c r="P14" s="76"/>
      <c r="Q14" s="76"/>
      <c r="R14" s="67"/>
      <c r="S14" s="67"/>
      <c r="T14" s="67"/>
    </row>
    <row r="15" spans="1:20" ht="15.75" customHeight="1" x14ac:dyDescent="0.15">
      <c r="A15" s="76"/>
      <c r="B15" s="84">
        <v>13</v>
      </c>
      <c r="C15" s="85">
        <v>688</v>
      </c>
      <c r="D15" s="84">
        <v>33</v>
      </c>
      <c r="E15" s="85">
        <v>4706</v>
      </c>
      <c r="F15" s="94"/>
      <c r="G15" s="95"/>
      <c r="H15" s="76"/>
      <c r="I15" s="96" t="s">
        <v>117</v>
      </c>
      <c r="J15" s="97">
        <f>SUM(J9,J14)</f>
        <v>177316</v>
      </c>
      <c r="K15" s="76"/>
      <c r="L15" s="76"/>
      <c r="M15" s="76"/>
      <c r="N15" s="76"/>
      <c r="O15" s="76"/>
      <c r="P15" s="76"/>
      <c r="Q15" s="76"/>
      <c r="R15" s="67"/>
      <c r="S15" s="67"/>
      <c r="T15" s="67"/>
    </row>
    <row r="16" spans="1:20" ht="15.75" customHeight="1" x14ac:dyDescent="0.15">
      <c r="A16" s="76"/>
      <c r="B16" s="84">
        <v>14</v>
      </c>
      <c r="C16" s="85">
        <v>798</v>
      </c>
      <c r="D16" s="84">
        <v>34</v>
      </c>
      <c r="E16" s="85">
        <v>5013</v>
      </c>
      <c r="F16" s="94"/>
      <c r="G16" s="95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67"/>
      <c r="S16" s="67"/>
      <c r="T16" s="67"/>
    </row>
    <row r="17" spans="1:20" ht="15.75" customHeight="1" x14ac:dyDescent="0.15">
      <c r="A17" s="76"/>
      <c r="B17" s="84">
        <v>15</v>
      </c>
      <c r="C17" s="85">
        <v>916</v>
      </c>
      <c r="D17" s="84">
        <v>35</v>
      </c>
      <c r="E17" s="85">
        <v>5332</v>
      </c>
      <c r="F17" s="94"/>
      <c r="G17" s="95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67"/>
      <c r="S17" s="67"/>
      <c r="T17" s="67"/>
    </row>
    <row r="18" spans="1:20" ht="15.75" customHeight="1" x14ac:dyDescent="0.15">
      <c r="A18" s="76"/>
      <c r="B18" s="84">
        <v>16</v>
      </c>
      <c r="C18" s="85">
        <v>1044</v>
      </c>
      <c r="D18" s="84">
        <v>36</v>
      </c>
      <c r="E18" s="85">
        <v>5661</v>
      </c>
      <c r="F18" s="94"/>
      <c r="G18" s="95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67"/>
      <c r="S18" s="67"/>
      <c r="T18" s="67"/>
    </row>
    <row r="19" spans="1:20" ht="15.75" customHeight="1" x14ac:dyDescent="0.15">
      <c r="A19" s="76"/>
      <c r="B19" s="84">
        <v>17</v>
      </c>
      <c r="C19" s="85">
        <v>1182</v>
      </c>
      <c r="D19" s="84">
        <v>37</v>
      </c>
      <c r="E19" s="85">
        <v>6000</v>
      </c>
      <c r="F19" s="94"/>
      <c r="G19" s="95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67"/>
      <c r="S19" s="67"/>
      <c r="T19" s="67"/>
    </row>
    <row r="20" spans="1:20" ht="15.75" customHeight="1" x14ac:dyDescent="0.15">
      <c r="A20" s="76"/>
      <c r="B20" s="84">
        <v>18</v>
      </c>
      <c r="C20" s="85">
        <v>1328</v>
      </c>
      <c r="D20" s="84">
        <v>38</v>
      </c>
      <c r="E20" s="85">
        <v>6351</v>
      </c>
      <c r="F20" s="94"/>
      <c r="G20" s="95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67"/>
      <c r="S20" s="67"/>
      <c r="T20" s="67"/>
    </row>
    <row r="21" spans="1:20" ht="15.75" customHeight="1" x14ac:dyDescent="0.15">
      <c r="A21" s="76"/>
      <c r="B21" s="84">
        <v>19</v>
      </c>
      <c r="C21" s="85">
        <v>1484</v>
      </c>
      <c r="D21" s="84">
        <v>39</v>
      </c>
      <c r="E21" s="85">
        <v>6713</v>
      </c>
      <c r="F21" s="94"/>
      <c r="G21" s="95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67"/>
      <c r="S21" s="67"/>
      <c r="T21" s="67"/>
    </row>
    <row r="22" spans="1:20" ht="15.75" customHeight="1" x14ac:dyDescent="0.15">
      <c r="A22" s="76"/>
      <c r="B22" s="90">
        <v>20</v>
      </c>
      <c r="C22" s="98">
        <v>1649</v>
      </c>
      <c r="D22" s="90">
        <v>40</v>
      </c>
      <c r="E22" s="98">
        <v>7085</v>
      </c>
      <c r="F22" s="99"/>
      <c r="G22" s="100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67"/>
      <c r="S22" s="67"/>
      <c r="T22" s="67"/>
    </row>
    <row r="23" spans="1:20" ht="15.75" customHeight="1" x14ac:dyDescent="0.1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67"/>
      <c r="S23" s="67"/>
      <c r="T23" s="67"/>
    </row>
    <row r="24" spans="1:20" ht="15.75" customHeight="1" x14ac:dyDescent="0.1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67"/>
      <c r="S24" s="67"/>
      <c r="T24" s="67"/>
    </row>
    <row r="25" spans="1:20" ht="15.75" customHeight="1" x14ac:dyDescent="0.1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67"/>
      <c r="S25" s="67"/>
      <c r="T25" s="67"/>
    </row>
    <row r="26" spans="1:20" ht="15.75" customHeight="1" x14ac:dyDescent="0.1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67"/>
      <c r="S26" s="67"/>
      <c r="T26" s="67"/>
    </row>
    <row r="27" spans="1:20" ht="15.75" customHeight="1" x14ac:dyDescent="0.1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67"/>
      <c r="S27" s="67"/>
      <c r="T27" s="67"/>
    </row>
    <row r="28" spans="1:20" ht="15.75" customHeight="1" x14ac:dyDescent="0.1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67"/>
      <c r="S28" s="67"/>
      <c r="T28" s="67"/>
    </row>
    <row r="29" spans="1:20" ht="15.75" customHeight="1" x14ac:dyDescent="0.1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67"/>
      <c r="S29" s="67"/>
      <c r="T29" s="67"/>
    </row>
    <row r="30" spans="1:20" ht="15.75" customHeight="1" x14ac:dyDescent="0.1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67"/>
      <c r="S30" s="67"/>
      <c r="T30" s="67"/>
    </row>
    <row r="31" spans="1:20" ht="15.75" customHeight="1" x14ac:dyDescent="0.1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67"/>
      <c r="S31" s="67"/>
      <c r="T31" s="67"/>
    </row>
    <row r="32" spans="1:20" ht="15.75" customHeight="1" x14ac:dyDescent="0.1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67"/>
      <c r="S32" s="67"/>
      <c r="T32" s="67"/>
    </row>
    <row r="33" spans="1:20" ht="15.75" customHeight="1" x14ac:dyDescent="0.1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</row>
    <row r="34" spans="1:20" ht="15.75" customHeight="1" x14ac:dyDescent="0.1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</row>
    <row r="35" spans="1:20" ht="15.75" customHeight="1" x14ac:dyDescent="0.1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</row>
    <row r="36" spans="1:20" ht="15.75" customHeight="1" x14ac:dyDescent="0.1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</row>
    <row r="37" spans="1:20" ht="15.75" customHeight="1" x14ac:dyDescent="0.1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</row>
    <row r="38" spans="1:20" ht="15.75" customHeight="1" x14ac:dyDescent="0.1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</row>
    <row r="39" spans="1:20" ht="15.75" customHeight="1" x14ac:dyDescent="0.1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spans="1:20" ht="15.75" customHeight="1" x14ac:dyDescent="0.1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</row>
    <row r="41" spans="1:20" ht="15.75" customHeight="1" x14ac:dyDescent="0.1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</row>
    <row r="42" spans="1:20" ht="15.75" customHeight="1" x14ac:dyDescent="0.1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</row>
    <row r="43" spans="1:20" ht="15.75" customHeight="1" x14ac:dyDescent="0.1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</row>
    <row r="44" spans="1:20" ht="15.75" customHeight="1" x14ac:dyDescent="0.1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</row>
    <row r="45" spans="1:20" ht="15.75" customHeight="1" x14ac:dyDescent="0.1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</row>
    <row r="46" spans="1:20" ht="15.75" customHeight="1" x14ac:dyDescent="0.1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</row>
    <row r="47" spans="1:20" ht="15.75" customHeight="1" x14ac:dyDescent="0.1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</row>
    <row r="48" spans="1:20" ht="15.75" customHeight="1" x14ac:dyDescent="0.1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</row>
    <row r="49" spans="1:20" ht="15.75" customHeight="1" x14ac:dyDescent="0.1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</row>
    <row r="50" spans="1:20" ht="15.75" customHeight="1" x14ac:dyDescent="0.1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</row>
    <row r="51" spans="1:20" ht="15.75" customHeight="1" x14ac:dyDescent="0.1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</row>
    <row r="52" spans="1:20" ht="15.75" customHeight="1" x14ac:dyDescent="0.1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</row>
    <row r="53" spans="1:20" ht="15.75" customHeight="1" x14ac:dyDescent="0.1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</row>
    <row r="54" spans="1:20" ht="15.75" customHeight="1" x14ac:dyDescent="0.1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</row>
    <row r="55" spans="1:20" ht="15.75" customHeight="1" x14ac:dyDescent="0.1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</row>
    <row r="56" spans="1:20" ht="15.75" customHeight="1" x14ac:dyDescent="0.1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</row>
    <row r="57" spans="1:20" ht="15.75" customHeight="1" x14ac:dyDescent="0.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</row>
    <row r="58" spans="1:20" ht="15.75" customHeight="1" x14ac:dyDescent="0.1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</row>
    <row r="59" spans="1:20" ht="15.75" customHeight="1" x14ac:dyDescent="0.1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</row>
    <row r="60" spans="1:20" ht="15.75" customHeight="1" x14ac:dyDescent="0.1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</row>
    <row r="61" spans="1:20" ht="15.75" customHeight="1" x14ac:dyDescent="0.1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</row>
    <row r="62" spans="1:20" ht="15.75" customHeight="1" x14ac:dyDescent="0.1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</row>
    <row r="63" spans="1:20" ht="15.75" customHeight="1" x14ac:dyDescent="0.1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</row>
    <row r="64" spans="1:20" ht="15.75" customHeight="1" x14ac:dyDescent="0.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</row>
    <row r="65" spans="1:20" ht="15.75" customHeight="1" x14ac:dyDescent="0.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</row>
    <row r="66" spans="1:20" ht="15.75" customHeight="1" x14ac:dyDescent="0.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</row>
    <row r="67" spans="1:20" ht="15.75" customHeight="1" x14ac:dyDescent="0.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</row>
    <row r="68" spans="1:20" ht="15.75" customHeight="1" x14ac:dyDescent="0.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</row>
    <row r="69" spans="1:20" ht="15.75" customHeight="1" x14ac:dyDescent="0.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</row>
    <row r="70" spans="1:20" ht="15.75" customHeight="1" x14ac:dyDescent="0.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</row>
    <row r="71" spans="1:20" ht="15.75" customHeight="1" x14ac:dyDescent="0.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</row>
    <row r="72" spans="1:20" ht="15.75" customHeight="1" x14ac:dyDescent="0.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</row>
    <row r="73" spans="1:20" ht="15.75" customHeight="1" x14ac:dyDescent="0.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</row>
    <row r="74" spans="1:20" ht="15.75" customHeight="1" x14ac:dyDescent="0.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</row>
    <row r="75" spans="1:20" ht="15.75" customHeight="1" x14ac:dyDescent="0.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</row>
    <row r="76" spans="1:20" ht="15.75" customHeight="1" x14ac:dyDescent="0.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</row>
    <row r="77" spans="1:20" ht="15.75" customHeight="1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</row>
    <row r="78" spans="1:20" ht="15.75" customHeight="1" x14ac:dyDescent="0.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</row>
    <row r="79" spans="1:20" ht="15.75" customHeight="1" x14ac:dyDescent="0.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</row>
    <row r="80" spans="1:20" ht="15.75" customHeight="1" x14ac:dyDescent="0.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</row>
    <row r="81" spans="1:20" ht="15.75" customHeight="1" x14ac:dyDescent="0.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</row>
    <row r="82" spans="1:20" ht="15.75" customHeight="1" x14ac:dyDescent="0.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</row>
    <row r="83" spans="1:20" ht="15.75" customHeight="1" x14ac:dyDescent="0.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</row>
    <row r="84" spans="1:20" ht="15.75" customHeight="1" x14ac:dyDescent="0.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</row>
    <row r="85" spans="1:20" ht="15.75" customHeight="1" x14ac:dyDescent="0.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</row>
    <row r="86" spans="1:20" ht="15.75" customHeight="1" x14ac:dyDescent="0.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</row>
    <row r="87" spans="1:20" ht="15.75" customHeight="1" x14ac:dyDescent="0.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</row>
    <row r="88" spans="1:20" ht="15.75" customHeight="1" x14ac:dyDescent="0.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</row>
    <row r="89" spans="1:20" ht="15.75" customHeight="1" x14ac:dyDescent="0.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</row>
    <row r="90" spans="1:20" ht="15.75" customHeight="1" x14ac:dyDescent="0.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</row>
    <row r="91" spans="1:20" ht="15.75" customHeight="1" x14ac:dyDescent="0.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</row>
    <row r="92" spans="1:20" ht="15.75" customHeight="1" x14ac:dyDescent="0.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</row>
    <row r="93" spans="1:20" ht="15.75" customHeight="1" x14ac:dyDescent="0.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</row>
    <row r="94" spans="1:20" ht="15.75" customHeight="1" x14ac:dyDescent="0.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</row>
    <row r="95" spans="1:20" ht="15.75" customHeight="1" x14ac:dyDescent="0.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</row>
    <row r="96" spans="1:20" ht="15.75" customHeight="1" x14ac:dyDescent="0.1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</row>
    <row r="97" spans="1:20" ht="15.75" customHeight="1" x14ac:dyDescent="0.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</row>
    <row r="98" spans="1:20" ht="15.75" customHeight="1" x14ac:dyDescent="0.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</row>
    <row r="99" spans="1:20" ht="15.75" customHeight="1" x14ac:dyDescent="0.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</row>
    <row r="100" spans="1:20" ht="15.75" customHeight="1" x14ac:dyDescent="0.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</row>
    <row r="101" spans="1:20" ht="15.75" customHeight="1" x14ac:dyDescent="0.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</row>
    <row r="102" spans="1:20" ht="15.75" customHeight="1" x14ac:dyDescent="0.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</row>
    <row r="103" spans="1:20" ht="15.75" customHeight="1" x14ac:dyDescent="0.1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</row>
    <row r="104" spans="1:20" ht="15.75" customHeight="1" x14ac:dyDescent="0.1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</row>
    <row r="105" spans="1:20" ht="15.75" customHeight="1" x14ac:dyDescent="0.1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</row>
    <row r="106" spans="1:20" ht="15.75" customHeight="1" x14ac:dyDescent="0.1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</row>
    <row r="107" spans="1:20" ht="15.75" customHeight="1" x14ac:dyDescent="0.1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</row>
    <row r="108" spans="1:20" ht="15.75" customHeight="1" x14ac:dyDescent="0.1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</row>
    <row r="109" spans="1:20" ht="15.75" customHeight="1" x14ac:dyDescent="0.1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</row>
    <row r="110" spans="1:20" ht="15.75" customHeight="1" x14ac:dyDescent="0.1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</row>
    <row r="111" spans="1:20" ht="15.75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</row>
    <row r="112" spans="1:20" ht="15.75" customHeight="1" x14ac:dyDescent="0.1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</row>
    <row r="113" spans="1:20" ht="15.75" customHeight="1" x14ac:dyDescent="0.1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</row>
    <row r="114" spans="1:20" ht="15.75" customHeight="1" x14ac:dyDescent="0.1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</row>
    <row r="115" spans="1:20" ht="15.75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</row>
    <row r="116" spans="1:20" ht="15.75" customHeight="1" x14ac:dyDescent="0.1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</row>
    <row r="117" spans="1:20" ht="15.75" customHeight="1" x14ac:dyDescent="0.1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</row>
    <row r="118" spans="1:20" ht="15.75" customHeight="1" x14ac:dyDescent="0.1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</row>
    <row r="119" spans="1:20" ht="15.75" customHeight="1" x14ac:dyDescent="0.1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</row>
    <row r="120" spans="1:20" ht="15.75" customHeight="1" x14ac:dyDescent="0.1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</row>
    <row r="121" spans="1:20" ht="15.75" customHeight="1" x14ac:dyDescent="0.1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</row>
    <row r="122" spans="1:20" ht="15.75" customHeight="1" x14ac:dyDescent="0.1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</row>
    <row r="123" spans="1:20" ht="15.75" customHeight="1" x14ac:dyDescent="0.1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</row>
    <row r="124" spans="1:20" ht="15.75" customHeight="1" x14ac:dyDescent="0.1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</row>
    <row r="125" spans="1:20" ht="15.75" customHeight="1" x14ac:dyDescent="0.1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</row>
    <row r="126" spans="1:20" ht="15.75" customHeight="1" x14ac:dyDescent="0.1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</row>
    <row r="127" spans="1:20" ht="15.75" customHeight="1" x14ac:dyDescent="0.1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</row>
    <row r="128" spans="1:20" ht="15.75" customHeight="1" x14ac:dyDescent="0.1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</row>
    <row r="129" spans="1:20" ht="15.75" customHeight="1" x14ac:dyDescent="0.1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</row>
    <row r="130" spans="1:20" ht="15.75" customHeight="1" x14ac:dyDescent="0.1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</row>
    <row r="131" spans="1:20" ht="15.75" customHeight="1" x14ac:dyDescent="0.1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</row>
    <row r="132" spans="1:20" ht="15.75" customHeight="1" x14ac:dyDescent="0.1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</row>
    <row r="133" spans="1:20" ht="15.75" customHeight="1" x14ac:dyDescent="0.1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</row>
    <row r="134" spans="1:20" ht="15.75" customHeight="1" x14ac:dyDescent="0.1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</row>
    <row r="135" spans="1:20" ht="15.75" customHeight="1" x14ac:dyDescent="0.1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</row>
    <row r="136" spans="1:20" ht="15.75" customHeight="1" x14ac:dyDescent="0.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</row>
    <row r="137" spans="1:20" ht="15.75" customHeight="1" x14ac:dyDescent="0.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</row>
    <row r="138" spans="1:20" ht="15.75" customHeight="1" x14ac:dyDescent="0.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</row>
    <row r="139" spans="1:20" ht="15.75" customHeight="1" x14ac:dyDescent="0.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</row>
    <row r="140" spans="1:20" ht="15.75" customHeight="1" x14ac:dyDescent="0.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</row>
    <row r="141" spans="1:20" ht="15.75" customHeight="1" x14ac:dyDescent="0.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</row>
    <row r="142" spans="1:20" ht="15.75" customHeight="1" x14ac:dyDescent="0.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</row>
    <row r="143" spans="1:20" ht="15.75" customHeight="1" x14ac:dyDescent="0.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</row>
    <row r="144" spans="1:20" ht="15.75" customHeight="1" x14ac:dyDescent="0.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</row>
    <row r="145" spans="1:20" ht="15.75" customHeight="1" x14ac:dyDescent="0.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</row>
    <row r="146" spans="1:20" ht="15.75" customHeight="1" x14ac:dyDescent="0.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</row>
    <row r="147" spans="1:20" ht="15.75" customHeight="1" x14ac:dyDescent="0.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</row>
    <row r="148" spans="1:20" ht="15.75" customHeight="1" x14ac:dyDescent="0.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</row>
    <row r="149" spans="1:20" ht="15.75" customHeight="1" x14ac:dyDescent="0.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</row>
    <row r="150" spans="1:20" ht="15.75" customHeight="1" x14ac:dyDescent="0.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</row>
    <row r="151" spans="1:20" ht="15.75" customHeight="1" x14ac:dyDescent="0.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</row>
    <row r="152" spans="1:20" ht="15.75" customHeight="1" x14ac:dyDescent="0.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</row>
    <row r="153" spans="1:20" ht="15.75" customHeight="1" x14ac:dyDescent="0.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</row>
    <row r="154" spans="1:20" ht="15.75" customHeight="1" x14ac:dyDescent="0.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</row>
    <row r="155" spans="1:20" ht="15.75" customHeight="1" x14ac:dyDescent="0.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</row>
    <row r="156" spans="1:20" ht="15.75" customHeight="1" x14ac:dyDescent="0.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</row>
    <row r="157" spans="1:20" ht="15.75" customHeight="1" x14ac:dyDescent="0.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</row>
    <row r="158" spans="1:20" ht="15.75" customHeight="1" x14ac:dyDescent="0.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</row>
    <row r="159" spans="1:20" ht="15.75" customHeight="1" x14ac:dyDescent="0.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</row>
    <row r="160" spans="1:20" ht="15.75" customHeight="1" x14ac:dyDescent="0.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</row>
    <row r="161" spans="1:20" ht="15.75" customHeight="1" x14ac:dyDescent="0.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</row>
    <row r="162" spans="1:20" ht="15.75" customHeight="1" x14ac:dyDescent="0.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</row>
    <row r="163" spans="1:20" ht="15.75" customHeight="1" x14ac:dyDescent="0.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</row>
    <row r="164" spans="1:20" ht="15.75" customHeight="1" x14ac:dyDescent="0.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</row>
    <row r="165" spans="1:20" ht="15.75" customHeight="1" x14ac:dyDescent="0.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</row>
    <row r="166" spans="1:20" ht="15.75" customHeight="1" x14ac:dyDescent="0.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</row>
    <row r="167" spans="1:20" ht="15.75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</row>
    <row r="168" spans="1:20" ht="15.75" customHeight="1" x14ac:dyDescent="0.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</row>
    <row r="169" spans="1:20" ht="15.75" customHeight="1" x14ac:dyDescent="0.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</row>
    <row r="170" spans="1:20" ht="15.75" customHeight="1" x14ac:dyDescent="0.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</row>
    <row r="171" spans="1:20" ht="15.75" customHeight="1" x14ac:dyDescent="0.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</row>
    <row r="172" spans="1:20" ht="15.75" customHeight="1" x14ac:dyDescent="0.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</row>
    <row r="173" spans="1:20" ht="15.75" customHeight="1" x14ac:dyDescent="0.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</row>
    <row r="174" spans="1:20" ht="15.75" customHeight="1" x14ac:dyDescent="0.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</row>
    <row r="175" spans="1:20" ht="15.75" customHeight="1" x14ac:dyDescent="0.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</row>
    <row r="176" spans="1:20" ht="15.75" customHeight="1" x14ac:dyDescent="0.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</row>
    <row r="177" spans="1:20" ht="15.75" customHeight="1" x14ac:dyDescent="0.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</row>
    <row r="178" spans="1:20" ht="15.75" customHeight="1" x14ac:dyDescent="0.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</row>
    <row r="179" spans="1:20" ht="15.75" customHeight="1" x14ac:dyDescent="0.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</row>
    <row r="180" spans="1:20" ht="15.75" customHeight="1" x14ac:dyDescent="0.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</row>
    <row r="181" spans="1:20" ht="15.75" customHeight="1" x14ac:dyDescent="0.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</row>
    <row r="182" spans="1:20" ht="15.75" customHeight="1" x14ac:dyDescent="0.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</row>
    <row r="183" spans="1:20" ht="15.75" customHeight="1" x14ac:dyDescent="0.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</row>
    <row r="184" spans="1:20" ht="15.75" customHeight="1" x14ac:dyDescent="0.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</row>
    <row r="185" spans="1:20" ht="15.75" customHeight="1" x14ac:dyDescent="0.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</row>
    <row r="186" spans="1:20" ht="15.75" customHeight="1" x14ac:dyDescent="0.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</row>
    <row r="187" spans="1:20" ht="15.75" customHeight="1" x14ac:dyDescent="0.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</row>
    <row r="188" spans="1:20" ht="15.75" customHeight="1" x14ac:dyDescent="0.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</row>
    <row r="189" spans="1:20" ht="15.75" customHeight="1" x14ac:dyDescent="0.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</row>
    <row r="190" spans="1:20" ht="15.75" customHeight="1" x14ac:dyDescent="0.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</row>
    <row r="191" spans="1:20" ht="15.75" customHeight="1" x14ac:dyDescent="0.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</row>
    <row r="192" spans="1:20" ht="15.75" customHeight="1" x14ac:dyDescent="0.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</row>
    <row r="193" spans="1:20" ht="15.75" customHeight="1" x14ac:dyDescent="0.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</row>
    <row r="194" spans="1:20" ht="15.75" customHeight="1" x14ac:dyDescent="0.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</row>
    <row r="195" spans="1:20" ht="15.75" customHeight="1" x14ac:dyDescent="0.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</row>
    <row r="196" spans="1:20" ht="15.75" customHeight="1" x14ac:dyDescent="0.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</row>
    <row r="197" spans="1:20" ht="15.75" customHeight="1" x14ac:dyDescent="0.1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</row>
    <row r="198" spans="1:20" ht="15.75" customHeight="1" x14ac:dyDescent="0.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</row>
    <row r="199" spans="1:20" ht="15.75" customHeight="1" x14ac:dyDescent="0.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</row>
    <row r="200" spans="1:20" ht="15.75" customHeight="1" x14ac:dyDescent="0.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</row>
    <row r="201" spans="1:20" ht="15.75" customHeight="1" x14ac:dyDescent="0.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</row>
    <row r="202" spans="1:20" ht="15.75" customHeight="1" x14ac:dyDescent="0.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</row>
    <row r="203" spans="1:20" ht="15.75" customHeight="1" x14ac:dyDescent="0.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</row>
    <row r="204" spans="1:20" ht="15.75" customHeight="1" x14ac:dyDescent="0.1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</row>
    <row r="205" spans="1:20" ht="15.75" customHeight="1" x14ac:dyDescent="0.1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</row>
    <row r="206" spans="1:20" ht="15.75" customHeight="1" x14ac:dyDescent="0.1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</row>
    <row r="207" spans="1:20" ht="15.75" customHeight="1" x14ac:dyDescent="0.1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</row>
    <row r="208" spans="1:20" ht="15.75" customHeight="1" x14ac:dyDescent="0.1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</row>
    <row r="209" spans="1:20" ht="15.75" customHeight="1" x14ac:dyDescent="0.1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</row>
    <row r="210" spans="1:20" ht="15.75" customHeight="1" x14ac:dyDescent="0.1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</row>
    <row r="211" spans="1:20" ht="15.75" customHeight="1" x14ac:dyDescent="0.1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</row>
    <row r="212" spans="1:20" ht="15.75" customHeight="1" x14ac:dyDescent="0.1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</row>
    <row r="213" spans="1:20" ht="15.75" customHeight="1" x14ac:dyDescent="0.1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</row>
    <row r="214" spans="1:20" ht="15.75" customHeight="1" x14ac:dyDescent="0.1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</row>
    <row r="215" spans="1:20" ht="15.75" customHeight="1" x14ac:dyDescent="0.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</row>
    <row r="216" spans="1:20" ht="15.75" customHeight="1" x14ac:dyDescent="0.1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</row>
    <row r="217" spans="1:20" ht="15.75" customHeight="1" x14ac:dyDescent="0.1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</row>
    <row r="218" spans="1:20" ht="15.75" customHeight="1" x14ac:dyDescent="0.1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</row>
    <row r="219" spans="1:20" ht="15.75" customHeight="1" x14ac:dyDescent="0.1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</row>
    <row r="220" spans="1:20" ht="15.75" customHeight="1" x14ac:dyDescent="0.1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</row>
    <row r="221" spans="1:20" ht="15.75" customHeight="1" x14ac:dyDescent="0.1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</row>
    <row r="222" spans="1:20" ht="15.75" customHeight="1" x14ac:dyDescent="0.1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</row>
    <row r="223" spans="1:20" ht="15.75" customHeight="1" x14ac:dyDescent="0.15"/>
    <row r="224" spans="1:20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4.1640625" customWidth="1"/>
    <col min="2" max="2" width="4.6640625" customWidth="1"/>
    <col min="3" max="9" width="11" customWidth="1"/>
    <col min="11" max="11" width="4.1640625" customWidth="1"/>
    <col min="12" max="12" width="4.6640625" customWidth="1"/>
    <col min="14" max="14" width="5" customWidth="1"/>
    <col min="15" max="26" width="6.1640625" customWidth="1"/>
  </cols>
  <sheetData>
    <row r="1" spans="1:26" ht="15.75" customHeight="1" x14ac:dyDescent="0.2">
      <c r="A1" s="101" t="s">
        <v>118</v>
      </c>
      <c r="B1" s="101"/>
      <c r="C1" s="101"/>
      <c r="D1" s="102"/>
      <c r="E1" s="102"/>
      <c r="F1" s="102"/>
      <c r="G1" s="102"/>
      <c r="H1" s="102"/>
      <c r="I1" s="102"/>
      <c r="J1" s="102"/>
      <c r="K1" s="101" t="s">
        <v>119</v>
      </c>
      <c r="L1" s="103"/>
      <c r="M1" s="103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104" t="s">
        <v>75</v>
      </c>
      <c r="B2" s="105" t="s">
        <v>120</v>
      </c>
      <c r="C2" s="104" t="s">
        <v>121</v>
      </c>
      <c r="D2" s="106" t="s">
        <v>122</v>
      </c>
      <c r="E2" s="106" t="s">
        <v>123</v>
      </c>
      <c r="F2" s="106" t="s">
        <v>124</v>
      </c>
      <c r="G2" s="106" t="s">
        <v>125</v>
      </c>
      <c r="H2" s="105" t="s">
        <v>126</v>
      </c>
      <c r="I2" s="107" t="s">
        <v>127</v>
      </c>
      <c r="J2" s="24"/>
      <c r="K2" s="108" t="s">
        <v>75</v>
      </c>
      <c r="L2" s="109" t="s">
        <v>120</v>
      </c>
      <c r="M2" s="110" t="s">
        <v>128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75" customHeight="1" x14ac:dyDescent="0.15">
      <c r="A3" s="111" t="s">
        <v>129</v>
      </c>
      <c r="B3" s="112">
        <v>0</v>
      </c>
      <c r="C3" s="113">
        <v>10</v>
      </c>
      <c r="D3" s="114"/>
      <c r="E3" s="114"/>
      <c r="F3" s="114"/>
      <c r="G3" s="114"/>
      <c r="H3" s="115">
        <f t="shared" ref="H3:H36" si="0">SUM(C3:G3)</f>
        <v>10</v>
      </c>
      <c r="I3" s="116">
        <f t="shared" ref="I3:I36" si="1">H3*4</f>
        <v>40</v>
      </c>
      <c r="J3" s="76"/>
      <c r="K3" s="111" t="s">
        <v>129</v>
      </c>
      <c r="L3" s="112">
        <v>0</v>
      </c>
      <c r="M3" s="117">
        <v>4</v>
      </c>
      <c r="N3" s="55"/>
      <c r="O3" s="118"/>
      <c r="P3" s="118"/>
      <c r="Q3" s="118"/>
      <c r="R3" s="55"/>
      <c r="S3" s="55"/>
      <c r="T3" s="55"/>
      <c r="U3" s="55"/>
      <c r="V3" s="55"/>
      <c r="W3" s="55"/>
      <c r="X3" s="55"/>
      <c r="Y3" s="55"/>
      <c r="Z3" s="55"/>
    </row>
    <row r="4" spans="1:26" ht="15.75" customHeight="1" x14ac:dyDescent="0.15">
      <c r="A4" s="119" t="s">
        <v>76</v>
      </c>
      <c r="B4" s="120">
        <v>0</v>
      </c>
      <c r="C4" s="121">
        <v>20</v>
      </c>
      <c r="D4" s="122">
        <v>50</v>
      </c>
      <c r="E4" s="123"/>
      <c r="F4" s="123"/>
      <c r="G4" s="123"/>
      <c r="H4" s="124">
        <f t="shared" si="0"/>
        <v>70</v>
      </c>
      <c r="I4" s="125">
        <f t="shared" si="1"/>
        <v>280</v>
      </c>
      <c r="J4" s="76"/>
      <c r="K4" s="119" t="s">
        <v>76</v>
      </c>
      <c r="L4" s="120">
        <v>0</v>
      </c>
      <c r="M4" s="125">
        <v>20</v>
      </c>
      <c r="N4" s="55"/>
      <c r="O4" s="118"/>
      <c r="P4" s="118"/>
      <c r="Q4" s="118"/>
      <c r="R4" s="55"/>
      <c r="S4" s="55"/>
      <c r="T4" s="55"/>
      <c r="U4" s="55"/>
      <c r="V4" s="55"/>
      <c r="W4" s="55"/>
      <c r="X4" s="55"/>
      <c r="Y4" s="55"/>
      <c r="Z4" s="55"/>
    </row>
    <row r="5" spans="1:26" ht="15.75" customHeight="1" x14ac:dyDescent="0.15">
      <c r="A5" s="119" t="s">
        <v>76</v>
      </c>
      <c r="B5" s="120" t="s">
        <v>130</v>
      </c>
      <c r="C5" s="121">
        <v>100</v>
      </c>
      <c r="D5" s="122">
        <v>120</v>
      </c>
      <c r="E5" s="123"/>
      <c r="F5" s="123"/>
      <c r="G5" s="123"/>
      <c r="H5" s="124">
        <f t="shared" si="0"/>
        <v>220</v>
      </c>
      <c r="I5" s="125">
        <f t="shared" si="1"/>
        <v>880</v>
      </c>
      <c r="J5" s="76"/>
      <c r="K5" s="119" t="s">
        <v>76</v>
      </c>
      <c r="L5" s="120" t="s">
        <v>130</v>
      </c>
      <c r="M5" s="125">
        <v>80</v>
      </c>
      <c r="N5" s="55"/>
      <c r="O5" s="118"/>
      <c r="P5" s="118"/>
      <c r="Q5" s="118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 x14ac:dyDescent="0.15">
      <c r="A6" s="126" t="s">
        <v>131</v>
      </c>
      <c r="B6" s="127">
        <v>0</v>
      </c>
      <c r="C6" s="128">
        <v>240</v>
      </c>
      <c r="D6" s="129">
        <v>260</v>
      </c>
      <c r="E6" s="129">
        <v>280</v>
      </c>
      <c r="F6" s="123"/>
      <c r="G6" s="123"/>
      <c r="H6" s="130">
        <f t="shared" si="0"/>
        <v>780</v>
      </c>
      <c r="I6" s="116">
        <f t="shared" si="1"/>
        <v>3120</v>
      </c>
      <c r="J6" s="76"/>
      <c r="K6" s="126" t="s">
        <v>131</v>
      </c>
      <c r="L6" s="127">
        <v>0</v>
      </c>
      <c r="M6" s="116">
        <v>200</v>
      </c>
      <c r="N6" s="55"/>
      <c r="O6" s="118"/>
      <c r="P6" s="118"/>
      <c r="Q6" s="118"/>
      <c r="R6" s="55"/>
      <c r="S6" s="55"/>
      <c r="T6" s="55"/>
      <c r="U6" s="55"/>
      <c r="V6" s="55"/>
      <c r="W6" s="55"/>
      <c r="X6" s="55"/>
      <c r="Y6" s="55"/>
      <c r="Z6" s="55"/>
    </row>
    <row r="7" spans="1:26" ht="15.75" customHeight="1" x14ac:dyDescent="0.15">
      <c r="A7" s="126" t="s">
        <v>131</v>
      </c>
      <c r="B7" s="127" t="s">
        <v>130</v>
      </c>
      <c r="C7" s="128">
        <v>300</v>
      </c>
      <c r="D7" s="129">
        <v>320</v>
      </c>
      <c r="E7" s="129">
        <v>340</v>
      </c>
      <c r="F7" s="123"/>
      <c r="G7" s="123"/>
      <c r="H7" s="130">
        <f t="shared" si="0"/>
        <v>960</v>
      </c>
      <c r="I7" s="116">
        <f t="shared" si="1"/>
        <v>3840</v>
      </c>
      <c r="J7" s="76"/>
      <c r="K7" s="126" t="s">
        <v>131</v>
      </c>
      <c r="L7" s="127" t="s">
        <v>130</v>
      </c>
      <c r="M7" s="116">
        <v>500</v>
      </c>
      <c r="N7" s="55"/>
      <c r="O7" s="118"/>
      <c r="P7" s="118"/>
      <c r="Q7" s="118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15">
      <c r="A8" s="126" t="s">
        <v>131</v>
      </c>
      <c r="B8" s="127" t="s">
        <v>132</v>
      </c>
      <c r="C8" s="128">
        <v>360</v>
      </c>
      <c r="D8" s="129">
        <v>380</v>
      </c>
      <c r="E8" s="129">
        <v>400</v>
      </c>
      <c r="F8" s="123"/>
      <c r="G8" s="123"/>
      <c r="H8" s="130">
        <f t="shared" si="0"/>
        <v>1140</v>
      </c>
      <c r="I8" s="116">
        <f t="shared" si="1"/>
        <v>4560</v>
      </c>
      <c r="J8" s="76"/>
      <c r="K8" s="126" t="s">
        <v>131</v>
      </c>
      <c r="L8" s="127" t="s">
        <v>132</v>
      </c>
      <c r="M8" s="116">
        <v>1000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 x14ac:dyDescent="0.15">
      <c r="A9" s="131" t="s">
        <v>133</v>
      </c>
      <c r="B9" s="132">
        <v>0</v>
      </c>
      <c r="C9" s="121">
        <v>420</v>
      </c>
      <c r="D9" s="122">
        <v>440</v>
      </c>
      <c r="E9" s="122">
        <v>460</v>
      </c>
      <c r="F9" s="122">
        <v>480</v>
      </c>
      <c r="G9" s="122">
        <v>500</v>
      </c>
      <c r="H9" s="124">
        <f t="shared" si="0"/>
        <v>2300</v>
      </c>
      <c r="I9" s="125">
        <f t="shared" si="1"/>
        <v>9200</v>
      </c>
      <c r="J9" s="76"/>
      <c r="K9" s="131" t="s">
        <v>133</v>
      </c>
      <c r="L9" s="132">
        <v>0</v>
      </c>
      <c r="M9" s="125">
        <v>1200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customHeight="1" x14ac:dyDescent="0.15">
      <c r="A10" s="131" t="s">
        <v>133</v>
      </c>
      <c r="B10" s="132" t="s">
        <v>130</v>
      </c>
      <c r="C10" s="121">
        <v>520</v>
      </c>
      <c r="D10" s="122">
        <v>540</v>
      </c>
      <c r="E10" s="122">
        <v>560</v>
      </c>
      <c r="F10" s="122">
        <v>580</v>
      </c>
      <c r="G10" s="122">
        <v>600</v>
      </c>
      <c r="H10" s="124">
        <f t="shared" si="0"/>
        <v>2800</v>
      </c>
      <c r="I10" s="125">
        <f t="shared" si="1"/>
        <v>11200</v>
      </c>
      <c r="J10" s="76"/>
      <c r="K10" s="131" t="s">
        <v>133</v>
      </c>
      <c r="L10" s="132" t="s">
        <v>130</v>
      </c>
      <c r="M10" s="125">
        <v>1400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 x14ac:dyDescent="0.15">
      <c r="A11" s="131" t="s">
        <v>133</v>
      </c>
      <c r="B11" s="132" t="s">
        <v>132</v>
      </c>
      <c r="C11" s="121">
        <v>620</v>
      </c>
      <c r="D11" s="122">
        <v>640</v>
      </c>
      <c r="E11" s="122">
        <v>660</v>
      </c>
      <c r="F11" s="122">
        <v>680</v>
      </c>
      <c r="G11" s="122">
        <v>700</v>
      </c>
      <c r="H11" s="124">
        <f t="shared" si="0"/>
        <v>3300</v>
      </c>
      <c r="I11" s="125">
        <f t="shared" si="1"/>
        <v>13200</v>
      </c>
      <c r="J11" s="76"/>
      <c r="K11" s="131" t="s">
        <v>133</v>
      </c>
      <c r="L11" s="132" t="s">
        <v>132</v>
      </c>
      <c r="M11" s="125">
        <v>1800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 x14ac:dyDescent="0.15">
      <c r="A12" s="131" t="s">
        <v>133</v>
      </c>
      <c r="B12" s="132" t="s">
        <v>134</v>
      </c>
      <c r="C12" s="121">
        <v>720</v>
      </c>
      <c r="D12" s="122">
        <v>740</v>
      </c>
      <c r="E12" s="122">
        <v>760</v>
      </c>
      <c r="F12" s="122">
        <v>780</v>
      </c>
      <c r="G12" s="122">
        <v>800</v>
      </c>
      <c r="H12" s="124">
        <f t="shared" si="0"/>
        <v>3800</v>
      </c>
      <c r="I12" s="125">
        <f t="shared" si="1"/>
        <v>15200</v>
      </c>
      <c r="J12" s="76"/>
      <c r="K12" s="131" t="s">
        <v>133</v>
      </c>
      <c r="L12" s="132" t="s">
        <v>134</v>
      </c>
      <c r="M12" s="125">
        <v>2000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 x14ac:dyDescent="0.15">
      <c r="A13" s="133" t="s">
        <v>135</v>
      </c>
      <c r="B13" s="134">
        <v>0</v>
      </c>
      <c r="C13" s="128">
        <v>1100</v>
      </c>
      <c r="D13" s="129">
        <v>1130</v>
      </c>
      <c r="E13" s="129">
        <v>1160</v>
      </c>
      <c r="F13" s="129">
        <v>1190</v>
      </c>
      <c r="G13" s="129">
        <v>1220</v>
      </c>
      <c r="H13" s="130">
        <f t="shared" si="0"/>
        <v>5800</v>
      </c>
      <c r="I13" s="116">
        <f t="shared" si="1"/>
        <v>23200</v>
      </c>
      <c r="J13" s="76"/>
      <c r="K13" s="133" t="s">
        <v>135</v>
      </c>
      <c r="L13" s="134">
        <v>0</v>
      </c>
      <c r="M13" s="116">
        <v>2300</v>
      </c>
      <c r="N13" s="55"/>
      <c r="O13" s="118"/>
      <c r="P13" s="118"/>
      <c r="Q13" s="118"/>
      <c r="R13" s="118"/>
      <c r="S13" s="118"/>
      <c r="T13" s="55"/>
      <c r="U13" s="55"/>
      <c r="V13" s="55"/>
      <c r="W13" s="55"/>
      <c r="X13" s="55"/>
      <c r="Y13" s="55"/>
      <c r="Z13" s="55"/>
    </row>
    <row r="14" spans="1:26" ht="15.75" customHeight="1" x14ac:dyDescent="0.15">
      <c r="A14" s="133" t="s">
        <v>135</v>
      </c>
      <c r="B14" s="134" t="s">
        <v>130</v>
      </c>
      <c r="C14" s="128">
        <v>1250</v>
      </c>
      <c r="D14" s="129">
        <v>1280</v>
      </c>
      <c r="E14" s="129">
        <v>1310</v>
      </c>
      <c r="F14" s="129">
        <v>1340</v>
      </c>
      <c r="G14" s="129">
        <v>1370</v>
      </c>
      <c r="H14" s="130">
        <f t="shared" si="0"/>
        <v>6550</v>
      </c>
      <c r="I14" s="116">
        <f t="shared" si="1"/>
        <v>26200</v>
      </c>
      <c r="J14" s="76"/>
      <c r="K14" s="133" t="s">
        <v>135</v>
      </c>
      <c r="L14" s="134" t="s">
        <v>130</v>
      </c>
      <c r="M14" s="116">
        <v>2600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 x14ac:dyDescent="0.15">
      <c r="A15" s="133" t="s">
        <v>135</v>
      </c>
      <c r="B15" s="134" t="s">
        <v>132</v>
      </c>
      <c r="C15" s="128">
        <v>1400</v>
      </c>
      <c r="D15" s="129">
        <v>1430</v>
      </c>
      <c r="E15" s="129">
        <v>1460</v>
      </c>
      <c r="F15" s="129">
        <v>1490</v>
      </c>
      <c r="G15" s="129">
        <v>1520</v>
      </c>
      <c r="H15" s="130">
        <f t="shared" si="0"/>
        <v>7300</v>
      </c>
      <c r="I15" s="116">
        <f t="shared" si="1"/>
        <v>29200</v>
      </c>
      <c r="J15" s="76"/>
      <c r="K15" s="133" t="s">
        <v>135</v>
      </c>
      <c r="L15" s="134" t="s">
        <v>132</v>
      </c>
      <c r="M15" s="116">
        <v>2900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 x14ac:dyDescent="0.15">
      <c r="A16" s="133" t="s">
        <v>135</v>
      </c>
      <c r="B16" s="134" t="s">
        <v>134</v>
      </c>
      <c r="C16" s="128">
        <v>1550</v>
      </c>
      <c r="D16" s="129">
        <v>1580</v>
      </c>
      <c r="E16" s="129">
        <v>1610</v>
      </c>
      <c r="F16" s="129">
        <v>1640</v>
      </c>
      <c r="G16" s="129">
        <v>1670</v>
      </c>
      <c r="H16" s="130">
        <f t="shared" si="0"/>
        <v>8050</v>
      </c>
      <c r="I16" s="116">
        <f t="shared" si="1"/>
        <v>32200</v>
      </c>
      <c r="J16" s="76"/>
      <c r="K16" s="133" t="s">
        <v>135</v>
      </c>
      <c r="L16" s="134" t="s">
        <v>134</v>
      </c>
      <c r="M16" s="116">
        <v>3200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customHeight="1" x14ac:dyDescent="0.15">
      <c r="A17" s="133" t="s">
        <v>135</v>
      </c>
      <c r="B17" s="134" t="s">
        <v>136</v>
      </c>
      <c r="C17" s="128">
        <v>1700</v>
      </c>
      <c r="D17" s="129">
        <v>1730</v>
      </c>
      <c r="E17" s="129">
        <v>1760</v>
      </c>
      <c r="F17" s="129">
        <v>1790</v>
      </c>
      <c r="G17" s="129">
        <v>1820</v>
      </c>
      <c r="H17" s="130">
        <f t="shared" si="0"/>
        <v>8800</v>
      </c>
      <c r="I17" s="116">
        <f t="shared" si="1"/>
        <v>35200</v>
      </c>
      <c r="J17" s="76"/>
      <c r="K17" s="133" t="s">
        <v>135</v>
      </c>
      <c r="L17" s="134" t="s">
        <v>136</v>
      </c>
      <c r="M17" s="116">
        <v>3500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 x14ac:dyDescent="0.15">
      <c r="A18" s="133" t="s">
        <v>135</v>
      </c>
      <c r="B18" s="134" t="s">
        <v>137</v>
      </c>
      <c r="C18" s="128">
        <v>1850</v>
      </c>
      <c r="D18" s="129">
        <v>1880</v>
      </c>
      <c r="E18" s="129">
        <v>1910</v>
      </c>
      <c r="F18" s="129">
        <v>1940</v>
      </c>
      <c r="G18" s="129">
        <v>1970</v>
      </c>
      <c r="H18" s="130">
        <f t="shared" si="0"/>
        <v>9550</v>
      </c>
      <c r="I18" s="116">
        <f t="shared" si="1"/>
        <v>38200</v>
      </c>
      <c r="J18" s="76"/>
      <c r="K18" s="133" t="s">
        <v>135</v>
      </c>
      <c r="L18" s="134" t="s">
        <v>137</v>
      </c>
      <c r="M18" s="116">
        <v>4000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 x14ac:dyDescent="0.15">
      <c r="A19" s="135" t="s">
        <v>138</v>
      </c>
      <c r="B19" s="136">
        <v>0</v>
      </c>
      <c r="C19" s="121">
        <v>2000</v>
      </c>
      <c r="D19" s="122">
        <v>2030</v>
      </c>
      <c r="E19" s="122">
        <v>2060</v>
      </c>
      <c r="F19" s="122">
        <v>2090</v>
      </c>
      <c r="G19" s="122">
        <v>2120</v>
      </c>
      <c r="H19" s="124">
        <f t="shared" si="0"/>
        <v>10300</v>
      </c>
      <c r="I19" s="125">
        <f t="shared" si="1"/>
        <v>41200</v>
      </c>
      <c r="J19" s="76"/>
      <c r="K19" s="135" t="s">
        <v>138</v>
      </c>
      <c r="L19" s="136">
        <v>0</v>
      </c>
      <c r="M19" s="137">
        <v>4000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 x14ac:dyDescent="0.15">
      <c r="A20" s="135" t="s">
        <v>138</v>
      </c>
      <c r="B20" s="136" t="s">
        <v>130</v>
      </c>
      <c r="C20" s="121">
        <v>2150</v>
      </c>
      <c r="D20" s="122">
        <v>2180</v>
      </c>
      <c r="E20" s="122">
        <v>2210</v>
      </c>
      <c r="F20" s="122">
        <v>2240</v>
      </c>
      <c r="G20" s="122">
        <v>2270</v>
      </c>
      <c r="H20" s="124">
        <f t="shared" si="0"/>
        <v>11050</v>
      </c>
      <c r="I20" s="125">
        <f t="shared" si="1"/>
        <v>44200</v>
      </c>
      <c r="J20" s="76"/>
      <c r="K20" s="135" t="s">
        <v>138</v>
      </c>
      <c r="L20" s="136" t="s">
        <v>130</v>
      </c>
      <c r="M20" s="137">
        <v>4000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15">
      <c r="A21" s="135" t="s">
        <v>138</v>
      </c>
      <c r="B21" s="136" t="s">
        <v>132</v>
      </c>
      <c r="C21" s="121">
        <v>2300</v>
      </c>
      <c r="D21" s="122">
        <v>2330</v>
      </c>
      <c r="E21" s="122">
        <v>2360</v>
      </c>
      <c r="F21" s="122">
        <v>2390</v>
      </c>
      <c r="G21" s="122">
        <v>2420</v>
      </c>
      <c r="H21" s="124">
        <f t="shared" si="0"/>
        <v>11800</v>
      </c>
      <c r="I21" s="125">
        <f t="shared" si="1"/>
        <v>47200</v>
      </c>
      <c r="J21" s="76"/>
      <c r="K21" s="135" t="s">
        <v>138</v>
      </c>
      <c r="L21" s="136" t="s">
        <v>132</v>
      </c>
      <c r="M21" s="137">
        <v>4000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15">
      <c r="A22" s="135" t="s">
        <v>138</v>
      </c>
      <c r="B22" s="136" t="s">
        <v>134</v>
      </c>
      <c r="C22" s="121">
        <v>2450</v>
      </c>
      <c r="D22" s="122">
        <v>2480</v>
      </c>
      <c r="E22" s="122">
        <v>2510</v>
      </c>
      <c r="F22" s="122">
        <v>2540</v>
      </c>
      <c r="G22" s="122">
        <v>2570</v>
      </c>
      <c r="H22" s="124">
        <f t="shared" si="0"/>
        <v>12550</v>
      </c>
      <c r="I22" s="125">
        <f t="shared" si="1"/>
        <v>50200</v>
      </c>
      <c r="J22" s="76"/>
      <c r="K22" s="135" t="s">
        <v>138</v>
      </c>
      <c r="L22" s="136" t="s">
        <v>134</v>
      </c>
      <c r="M22" s="137">
        <v>4000</v>
      </c>
      <c r="N22" s="55"/>
      <c r="O22" s="55"/>
      <c r="P22" s="55"/>
      <c r="Q22" s="55"/>
      <c r="R22" s="55"/>
      <c r="S22" s="55"/>
      <c r="U22" s="55"/>
      <c r="V22" s="55"/>
      <c r="W22" s="55"/>
      <c r="X22" s="55"/>
      <c r="Y22" s="55"/>
      <c r="Z22" s="55"/>
    </row>
    <row r="23" spans="1:26" ht="15.75" customHeight="1" x14ac:dyDescent="0.15">
      <c r="A23" s="135" t="s">
        <v>138</v>
      </c>
      <c r="B23" s="136" t="s">
        <v>136</v>
      </c>
      <c r="C23" s="121">
        <v>2600</v>
      </c>
      <c r="D23" s="122">
        <v>2630</v>
      </c>
      <c r="E23" s="122">
        <v>2660</v>
      </c>
      <c r="F23" s="122">
        <v>2700</v>
      </c>
      <c r="G23" s="122">
        <v>2750</v>
      </c>
      <c r="H23" s="124">
        <f t="shared" si="0"/>
        <v>13340</v>
      </c>
      <c r="I23" s="125">
        <f t="shared" si="1"/>
        <v>53360</v>
      </c>
      <c r="J23" s="76"/>
      <c r="K23" s="135" t="s">
        <v>138</v>
      </c>
      <c r="L23" s="136" t="s">
        <v>136</v>
      </c>
      <c r="M23" s="137">
        <v>4000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15">
      <c r="A24" s="135" t="s">
        <v>138</v>
      </c>
      <c r="B24" s="136" t="s">
        <v>137</v>
      </c>
      <c r="C24" s="121">
        <v>2800</v>
      </c>
      <c r="D24" s="122">
        <v>2850</v>
      </c>
      <c r="E24" s="122">
        <v>2900</v>
      </c>
      <c r="F24" s="122">
        <v>2950</v>
      </c>
      <c r="G24" s="122">
        <v>3000</v>
      </c>
      <c r="H24" s="124">
        <f t="shared" si="0"/>
        <v>14500</v>
      </c>
      <c r="I24" s="125">
        <f t="shared" si="1"/>
        <v>58000</v>
      </c>
      <c r="J24" s="76"/>
      <c r="K24" s="135" t="s">
        <v>138</v>
      </c>
      <c r="L24" s="138" t="s">
        <v>137</v>
      </c>
      <c r="M24" s="137">
        <v>8000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15">
      <c r="A25" s="139" t="s">
        <v>139</v>
      </c>
      <c r="B25" s="140">
        <v>0</v>
      </c>
      <c r="C25" s="85">
        <v>3100</v>
      </c>
      <c r="D25" s="141">
        <v>3200</v>
      </c>
      <c r="E25" s="141">
        <v>3300</v>
      </c>
      <c r="F25" s="141">
        <v>3400</v>
      </c>
      <c r="G25" s="141">
        <v>3500</v>
      </c>
      <c r="H25" s="142">
        <f t="shared" si="0"/>
        <v>16500</v>
      </c>
      <c r="I25" s="86">
        <f t="shared" si="1"/>
        <v>66000</v>
      </c>
      <c r="J25" s="76"/>
      <c r="K25" s="139" t="s">
        <v>139</v>
      </c>
      <c r="L25" s="140">
        <v>0</v>
      </c>
      <c r="M25" s="86">
        <v>8000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15">
      <c r="A26" s="139" t="s">
        <v>139</v>
      </c>
      <c r="B26" s="140" t="s">
        <v>130</v>
      </c>
      <c r="C26" s="85">
        <v>3600</v>
      </c>
      <c r="D26" s="141">
        <v>3700</v>
      </c>
      <c r="E26" s="141">
        <v>3800</v>
      </c>
      <c r="F26" s="141">
        <v>3900</v>
      </c>
      <c r="G26" s="141">
        <v>4000</v>
      </c>
      <c r="H26" s="142">
        <f t="shared" si="0"/>
        <v>19000</v>
      </c>
      <c r="I26" s="86">
        <f t="shared" si="1"/>
        <v>76000</v>
      </c>
      <c r="J26" s="76"/>
      <c r="K26" s="139" t="s">
        <v>139</v>
      </c>
      <c r="L26" s="140" t="s">
        <v>130</v>
      </c>
      <c r="M26" s="86">
        <v>11000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15">
      <c r="A27" s="139" t="s">
        <v>139</v>
      </c>
      <c r="B27" s="140" t="s">
        <v>132</v>
      </c>
      <c r="C27" s="85">
        <v>4100</v>
      </c>
      <c r="D27" s="141">
        <v>4200</v>
      </c>
      <c r="E27" s="141">
        <v>4300</v>
      </c>
      <c r="F27" s="141">
        <v>4400</v>
      </c>
      <c r="G27" s="141">
        <v>4500</v>
      </c>
      <c r="H27" s="142">
        <f t="shared" si="0"/>
        <v>21500</v>
      </c>
      <c r="I27" s="86">
        <f t="shared" si="1"/>
        <v>86000</v>
      </c>
      <c r="J27" s="76"/>
      <c r="K27" s="139" t="s">
        <v>139</v>
      </c>
      <c r="L27" s="140" t="s">
        <v>132</v>
      </c>
      <c r="M27" s="86">
        <v>11000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15">
      <c r="A28" s="139" t="s">
        <v>139</v>
      </c>
      <c r="B28" s="140" t="s">
        <v>134</v>
      </c>
      <c r="C28" s="143">
        <v>4600</v>
      </c>
      <c r="D28" s="69">
        <v>4700</v>
      </c>
      <c r="E28" s="69">
        <v>4800</v>
      </c>
      <c r="F28" s="69">
        <v>4900</v>
      </c>
      <c r="G28" s="69">
        <v>5000</v>
      </c>
      <c r="H28" s="142">
        <f t="shared" si="0"/>
        <v>24000</v>
      </c>
      <c r="I28" s="86">
        <f t="shared" si="1"/>
        <v>96000</v>
      </c>
      <c r="J28" s="76"/>
      <c r="K28" s="139" t="s">
        <v>139</v>
      </c>
      <c r="L28" s="140" t="s">
        <v>134</v>
      </c>
      <c r="M28" s="86">
        <v>15000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15">
      <c r="A29" s="139" t="s">
        <v>139</v>
      </c>
      <c r="B29" s="140" t="s">
        <v>136</v>
      </c>
      <c r="C29" s="143">
        <v>5200</v>
      </c>
      <c r="D29" s="69">
        <v>5400</v>
      </c>
      <c r="E29" s="69">
        <v>5600</v>
      </c>
      <c r="F29" s="69">
        <v>5800</v>
      </c>
      <c r="G29" s="69">
        <v>6000</v>
      </c>
      <c r="H29" s="142">
        <f t="shared" si="0"/>
        <v>28000</v>
      </c>
      <c r="I29" s="86">
        <f t="shared" si="1"/>
        <v>112000</v>
      </c>
      <c r="J29" s="76"/>
      <c r="K29" s="139" t="s">
        <v>139</v>
      </c>
      <c r="L29" s="140" t="s">
        <v>136</v>
      </c>
      <c r="M29" s="86">
        <v>15000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15">
      <c r="A30" s="144" t="s">
        <v>139</v>
      </c>
      <c r="B30" s="145" t="s">
        <v>137</v>
      </c>
      <c r="C30" s="128">
        <v>6200</v>
      </c>
      <c r="D30" s="129">
        <f>6400</f>
        <v>6400</v>
      </c>
      <c r="E30" s="129">
        <v>6600</v>
      </c>
      <c r="F30" s="129">
        <v>6800</v>
      </c>
      <c r="G30" s="129">
        <v>7000</v>
      </c>
      <c r="H30" s="146">
        <f t="shared" si="0"/>
        <v>33000</v>
      </c>
      <c r="I30" s="146">
        <f t="shared" si="1"/>
        <v>132000</v>
      </c>
      <c r="J30" s="55"/>
      <c r="K30" s="144" t="s">
        <v>139</v>
      </c>
      <c r="L30" s="145" t="s">
        <v>137</v>
      </c>
      <c r="M30" s="86">
        <v>20000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15">
      <c r="A31" s="147" t="s">
        <v>140</v>
      </c>
      <c r="B31" s="148">
        <v>0</v>
      </c>
      <c r="C31" s="121">
        <v>7300</v>
      </c>
      <c r="D31" s="122">
        <v>7600</v>
      </c>
      <c r="E31" s="122">
        <v>7900</v>
      </c>
      <c r="F31" s="122">
        <v>8200</v>
      </c>
      <c r="G31" s="122">
        <v>8500</v>
      </c>
      <c r="H31" s="149">
        <f t="shared" si="0"/>
        <v>39500</v>
      </c>
      <c r="I31" s="149">
        <f t="shared" si="1"/>
        <v>158000</v>
      </c>
      <c r="J31" s="150"/>
      <c r="K31" s="147" t="s">
        <v>140</v>
      </c>
      <c r="L31" s="148">
        <v>0</v>
      </c>
      <c r="M31" s="137">
        <v>20000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15">
      <c r="A32" s="147" t="s">
        <v>140</v>
      </c>
      <c r="B32" s="148" t="s">
        <v>130</v>
      </c>
      <c r="C32" s="121"/>
      <c r="D32" s="122"/>
      <c r="E32" s="122"/>
      <c r="F32" s="122"/>
      <c r="G32" s="122"/>
      <c r="H32" s="149">
        <f t="shared" si="0"/>
        <v>0</v>
      </c>
      <c r="I32" s="149">
        <f t="shared" si="1"/>
        <v>0</v>
      </c>
      <c r="J32" s="150"/>
      <c r="K32" s="147" t="s">
        <v>140</v>
      </c>
      <c r="L32" s="148" t="s">
        <v>130</v>
      </c>
      <c r="M32" s="137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15">
      <c r="A33" s="147" t="s">
        <v>140</v>
      </c>
      <c r="B33" s="148" t="s">
        <v>132</v>
      </c>
      <c r="C33" s="121"/>
      <c r="D33" s="122"/>
      <c r="E33" s="122"/>
      <c r="F33" s="122"/>
      <c r="G33" s="122"/>
      <c r="H33" s="149">
        <f t="shared" si="0"/>
        <v>0</v>
      </c>
      <c r="I33" s="149">
        <f t="shared" si="1"/>
        <v>0</v>
      </c>
      <c r="J33" s="150"/>
      <c r="K33" s="147" t="s">
        <v>140</v>
      </c>
      <c r="L33" s="148" t="s">
        <v>132</v>
      </c>
      <c r="M33" s="137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15">
      <c r="A34" s="147" t="s">
        <v>140</v>
      </c>
      <c r="B34" s="148" t="s">
        <v>134</v>
      </c>
      <c r="C34" s="121"/>
      <c r="D34" s="122"/>
      <c r="E34" s="122"/>
      <c r="F34" s="122"/>
      <c r="G34" s="122"/>
      <c r="H34" s="149">
        <f t="shared" si="0"/>
        <v>0</v>
      </c>
      <c r="I34" s="149">
        <f t="shared" si="1"/>
        <v>0</v>
      </c>
      <c r="J34" s="150"/>
      <c r="K34" s="147" t="s">
        <v>140</v>
      </c>
      <c r="L34" s="148" t="s">
        <v>134</v>
      </c>
      <c r="M34" s="137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15">
      <c r="A35" s="147" t="s">
        <v>140</v>
      </c>
      <c r="B35" s="148" t="s">
        <v>136</v>
      </c>
      <c r="C35" s="121"/>
      <c r="D35" s="122"/>
      <c r="E35" s="122"/>
      <c r="F35" s="122"/>
      <c r="G35" s="122"/>
      <c r="H35" s="149">
        <f t="shared" si="0"/>
        <v>0</v>
      </c>
      <c r="I35" s="149">
        <f t="shared" si="1"/>
        <v>0</v>
      </c>
      <c r="J35" s="150"/>
      <c r="K35" s="147" t="s">
        <v>140</v>
      </c>
      <c r="L35" s="148" t="s">
        <v>136</v>
      </c>
      <c r="M35" s="137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15">
      <c r="A36" s="151" t="s">
        <v>140</v>
      </c>
      <c r="B36" s="152" t="s">
        <v>137</v>
      </c>
      <c r="C36" s="153"/>
      <c r="D36" s="154"/>
      <c r="E36" s="154"/>
      <c r="F36" s="154"/>
      <c r="G36" s="154"/>
      <c r="H36" s="155">
        <f t="shared" si="0"/>
        <v>0</v>
      </c>
      <c r="I36" s="155">
        <f t="shared" si="1"/>
        <v>0</v>
      </c>
      <c r="J36" s="150"/>
      <c r="K36" s="151" t="s">
        <v>140</v>
      </c>
      <c r="L36" s="152" t="s">
        <v>137</v>
      </c>
      <c r="M36" s="156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1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1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15">
      <c r="A39" s="55"/>
      <c r="B39" s="55"/>
      <c r="C39" s="55"/>
      <c r="D39" s="55"/>
      <c r="E39" s="55"/>
      <c r="F39" s="55"/>
      <c r="G39" s="55"/>
      <c r="H39" s="55"/>
      <c r="I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15">
      <c r="A40" s="55"/>
      <c r="B40" s="55"/>
      <c r="C40" s="55"/>
      <c r="D40" s="55"/>
      <c r="E40" s="55"/>
      <c r="F40" s="55"/>
      <c r="G40" s="55"/>
      <c r="H40" s="55"/>
      <c r="I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15">
      <c r="A41" s="55"/>
      <c r="B41" s="55"/>
      <c r="C41" s="55"/>
      <c r="D41" s="55"/>
      <c r="E41" s="55"/>
      <c r="F41" s="55"/>
      <c r="G41" s="55"/>
      <c r="H41" s="55"/>
      <c r="I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1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1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1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1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1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1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1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1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1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1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1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1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1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1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1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1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1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1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1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1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1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1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1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1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1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1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1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1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1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1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1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1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1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1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1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1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1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1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1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1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1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1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1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1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1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1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1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1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1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1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1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1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1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1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1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1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1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1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1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1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1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1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1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1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1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1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1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1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1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1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1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1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1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1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1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1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1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1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1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1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1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1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1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1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1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1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1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1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1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1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1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1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1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1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1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1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1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1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1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1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1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1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1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1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1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1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1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1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1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1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1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1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1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1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1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1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1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1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1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1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1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1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1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1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1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1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1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1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1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1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1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1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1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1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1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1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1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1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1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1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1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1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1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1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1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1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1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1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1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1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1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1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1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1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1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1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1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1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1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1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1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1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1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1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1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1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1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1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1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1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1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1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1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1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1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1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1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1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1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1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1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1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1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1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1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1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1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1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1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1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7" width="9.6640625" customWidth="1"/>
    <col min="8" max="8" width="9.1640625" customWidth="1"/>
    <col min="9" max="9" width="14.6640625" customWidth="1"/>
    <col min="10" max="12" width="9.6640625" customWidth="1"/>
  </cols>
  <sheetData>
    <row r="1" spans="1:26" ht="15.75" customHeight="1" x14ac:dyDescent="0.15">
      <c r="A1" s="101" t="s">
        <v>141</v>
      </c>
      <c r="B1" s="101"/>
      <c r="C1" s="101"/>
      <c r="D1" s="101"/>
      <c r="E1" s="101"/>
      <c r="F1" s="101"/>
      <c r="G1" s="101"/>
      <c r="H1" s="157"/>
      <c r="I1" s="101" t="s">
        <v>142</v>
      </c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spans="1:26" ht="31.5" customHeight="1" x14ac:dyDescent="0.15">
      <c r="A2" s="158" t="s">
        <v>143</v>
      </c>
      <c r="B2" s="159" t="s">
        <v>144</v>
      </c>
      <c r="C2" s="160" t="s">
        <v>145</v>
      </c>
      <c r="D2" s="161" t="s">
        <v>146</v>
      </c>
      <c r="E2" s="160" t="s">
        <v>147</v>
      </c>
      <c r="F2" s="162" t="s">
        <v>148</v>
      </c>
      <c r="G2" s="163" t="s">
        <v>149</v>
      </c>
      <c r="H2" s="164"/>
      <c r="I2" s="158" t="s">
        <v>143</v>
      </c>
      <c r="J2" s="159" t="s">
        <v>144</v>
      </c>
      <c r="K2" s="160" t="s">
        <v>145</v>
      </c>
      <c r="L2" s="163" t="s">
        <v>150</v>
      </c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spans="1:26" ht="15.75" customHeight="1" x14ac:dyDescent="0.15">
      <c r="A3" s="165" t="s">
        <v>151</v>
      </c>
      <c r="B3" s="166">
        <v>1</v>
      </c>
      <c r="C3" s="167">
        <v>0</v>
      </c>
      <c r="D3" s="69">
        <v>5</v>
      </c>
      <c r="E3" s="168">
        <v>50</v>
      </c>
      <c r="F3" s="169">
        <f t="shared" ref="F3:F40" si="0">D3*E3</f>
        <v>250</v>
      </c>
      <c r="G3" s="168">
        <f t="shared" ref="G3:G40" si="1">F3*4</f>
        <v>1000</v>
      </c>
      <c r="H3" s="164"/>
      <c r="I3" s="165" t="s">
        <v>151</v>
      </c>
      <c r="J3" s="166">
        <v>1</v>
      </c>
      <c r="K3" s="167">
        <v>0</v>
      </c>
      <c r="L3" s="168">
        <v>200</v>
      </c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spans="1:26" ht="15.75" customHeight="1" x14ac:dyDescent="0.15">
      <c r="A4" s="170" t="s">
        <v>152</v>
      </c>
      <c r="B4" s="171">
        <v>1</v>
      </c>
      <c r="C4" s="172">
        <v>0</v>
      </c>
      <c r="D4" s="173">
        <v>10</v>
      </c>
      <c r="E4" s="174">
        <v>100</v>
      </c>
      <c r="F4" s="175">
        <f t="shared" si="0"/>
        <v>1000</v>
      </c>
      <c r="G4" s="174">
        <f t="shared" si="1"/>
        <v>4000</v>
      </c>
      <c r="H4" s="164"/>
      <c r="I4" s="170" t="s">
        <v>152</v>
      </c>
      <c r="J4" s="171">
        <v>1</v>
      </c>
      <c r="K4" s="172">
        <v>0</v>
      </c>
      <c r="L4" s="174">
        <v>400</v>
      </c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spans="1:26" ht="15.75" customHeight="1" x14ac:dyDescent="0.15">
      <c r="A5" s="165" t="s">
        <v>153</v>
      </c>
      <c r="B5" s="176">
        <v>2</v>
      </c>
      <c r="C5" s="177">
        <v>0</v>
      </c>
      <c r="D5" s="69">
        <v>10</v>
      </c>
      <c r="E5" s="168">
        <v>500</v>
      </c>
      <c r="F5" s="169">
        <f t="shared" si="0"/>
        <v>5000</v>
      </c>
      <c r="G5" s="168">
        <f t="shared" si="1"/>
        <v>20000</v>
      </c>
      <c r="H5" s="164"/>
      <c r="I5" s="165" t="s">
        <v>153</v>
      </c>
      <c r="J5" s="176">
        <v>2</v>
      </c>
      <c r="K5" s="177">
        <v>0</v>
      </c>
      <c r="L5" s="168">
        <v>600</v>
      </c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spans="1:26" ht="15.75" customHeight="1" x14ac:dyDescent="0.15">
      <c r="A6" s="169"/>
      <c r="B6" s="176">
        <v>2</v>
      </c>
      <c r="C6" s="177">
        <v>1</v>
      </c>
      <c r="D6" s="69">
        <v>10</v>
      </c>
      <c r="E6" s="168">
        <v>500</v>
      </c>
      <c r="F6" s="169">
        <f t="shared" si="0"/>
        <v>5000</v>
      </c>
      <c r="G6" s="168">
        <f t="shared" si="1"/>
        <v>20000</v>
      </c>
      <c r="H6" s="164"/>
      <c r="I6" s="169"/>
      <c r="J6" s="176">
        <v>2</v>
      </c>
      <c r="K6" s="177">
        <v>1</v>
      </c>
      <c r="L6" s="168">
        <v>600</v>
      </c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spans="1:26" ht="15.75" customHeight="1" x14ac:dyDescent="0.15">
      <c r="A7" s="170" t="s">
        <v>154</v>
      </c>
      <c r="B7" s="178">
        <v>4</v>
      </c>
      <c r="C7" s="179">
        <v>0</v>
      </c>
      <c r="D7" s="173">
        <v>10</v>
      </c>
      <c r="E7" s="174">
        <v>1000</v>
      </c>
      <c r="F7" s="175">
        <f t="shared" si="0"/>
        <v>10000</v>
      </c>
      <c r="G7" s="174">
        <f t="shared" si="1"/>
        <v>40000</v>
      </c>
      <c r="H7" s="164"/>
      <c r="I7" s="170" t="s">
        <v>154</v>
      </c>
      <c r="J7" s="178">
        <v>4</v>
      </c>
      <c r="K7" s="179">
        <v>0</v>
      </c>
      <c r="L7" s="174">
        <v>1000</v>
      </c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spans="1:26" ht="15.75" customHeight="1" x14ac:dyDescent="0.15">
      <c r="A8" s="175"/>
      <c r="B8" s="178">
        <v>4</v>
      </c>
      <c r="C8" s="179">
        <v>1</v>
      </c>
      <c r="D8" s="173">
        <v>10</v>
      </c>
      <c r="E8" s="174">
        <v>1000</v>
      </c>
      <c r="F8" s="175">
        <f t="shared" si="0"/>
        <v>10000</v>
      </c>
      <c r="G8" s="174">
        <f t="shared" si="1"/>
        <v>40000</v>
      </c>
      <c r="H8" s="164"/>
      <c r="I8" s="175"/>
      <c r="J8" s="178">
        <v>4</v>
      </c>
      <c r="K8" s="179">
        <v>1</v>
      </c>
      <c r="L8" s="174">
        <v>1000</v>
      </c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spans="1:26" ht="15.75" customHeight="1" x14ac:dyDescent="0.15">
      <c r="A9" s="175"/>
      <c r="B9" s="178">
        <v>4</v>
      </c>
      <c r="C9" s="179">
        <v>2</v>
      </c>
      <c r="D9" s="173">
        <v>10</v>
      </c>
      <c r="E9" s="174">
        <v>1000</v>
      </c>
      <c r="F9" s="175">
        <f t="shared" si="0"/>
        <v>10000</v>
      </c>
      <c r="G9" s="174">
        <f t="shared" si="1"/>
        <v>40000</v>
      </c>
      <c r="H9" s="164"/>
      <c r="I9" s="175"/>
      <c r="J9" s="178">
        <v>4</v>
      </c>
      <c r="K9" s="179">
        <v>2</v>
      </c>
      <c r="L9" s="174">
        <v>1000</v>
      </c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spans="1:26" ht="15.75" customHeight="1" x14ac:dyDescent="0.15">
      <c r="A10" s="175"/>
      <c r="B10" s="178">
        <v>4</v>
      </c>
      <c r="C10" s="179">
        <v>3</v>
      </c>
      <c r="D10" s="173">
        <v>10</v>
      </c>
      <c r="E10" s="174">
        <v>1000</v>
      </c>
      <c r="F10" s="175">
        <f t="shared" si="0"/>
        <v>10000</v>
      </c>
      <c r="G10" s="174">
        <f t="shared" si="1"/>
        <v>40000</v>
      </c>
      <c r="H10" s="164"/>
      <c r="I10" s="175"/>
      <c r="J10" s="178">
        <v>4</v>
      </c>
      <c r="K10" s="179">
        <v>3</v>
      </c>
      <c r="L10" s="174">
        <v>1000</v>
      </c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spans="1:26" ht="15.75" customHeight="1" x14ac:dyDescent="0.15">
      <c r="A11" s="165" t="s">
        <v>155</v>
      </c>
      <c r="B11" s="180">
        <v>10</v>
      </c>
      <c r="C11" s="181">
        <v>0</v>
      </c>
      <c r="D11" s="69">
        <v>10</v>
      </c>
      <c r="E11" s="168">
        <v>1500</v>
      </c>
      <c r="F11" s="169">
        <f t="shared" si="0"/>
        <v>15000</v>
      </c>
      <c r="G11" s="168">
        <f t="shared" si="1"/>
        <v>60000</v>
      </c>
      <c r="H11" s="164"/>
      <c r="I11" s="165" t="s">
        <v>155</v>
      </c>
      <c r="J11" s="180">
        <v>10</v>
      </c>
      <c r="K11" s="181">
        <v>0</v>
      </c>
      <c r="L11" s="146">
        <v>1500</v>
      </c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ht="15.75" customHeight="1" x14ac:dyDescent="0.15">
      <c r="A12" s="165"/>
      <c r="B12" s="180">
        <v>10</v>
      </c>
      <c r="C12" s="181">
        <v>1</v>
      </c>
      <c r="D12" s="69">
        <v>10</v>
      </c>
      <c r="E12" s="168">
        <v>1500</v>
      </c>
      <c r="F12" s="169">
        <f t="shared" si="0"/>
        <v>15000</v>
      </c>
      <c r="G12" s="168">
        <f t="shared" si="1"/>
        <v>60000</v>
      </c>
      <c r="H12" s="164"/>
      <c r="I12" s="165"/>
      <c r="J12" s="180">
        <v>10</v>
      </c>
      <c r="K12" s="181">
        <v>1</v>
      </c>
      <c r="L12" s="146">
        <v>1500</v>
      </c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spans="1:26" ht="15.75" customHeight="1" x14ac:dyDescent="0.15">
      <c r="A13" s="169"/>
      <c r="B13" s="180">
        <v>10</v>
      </c>
      <c r="C13" s="181">
        <v>2</v>
      </c>
      <c r="D13" s="69">
        <v>10</v>
      </c>
      <c r="E13" s="168">
        <v>1500</v>
      </c>
      <c r="F13" s="169">
        <f t="shared" si="0"/>
        <v>15000</v>
      </c>
      <c r="G13" s="168">
        <f t="shared" si="1"/>
        <v>60000</v>
      </c>
      <c r="H13" s="164"/>
      <c r="I13" s="169"/>
      <c r="J13" s="180">
        <v>10</v>
      </c>
      <c r="K13" s="181">
        <v>2</v>
      </c>
      <c r="L13" s="146">
        <v>1500</v>
      </c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spans="1:26" ht="15.75" customHeight="1" x14ac:dyDescent="0.15">
      <c r="A14" s="169"/>
      <c r="B14" s="180">
        <v>10</v>
      </c>
      <c r="C14" s="181">
        <v>3</v>
      </c>
      <c r="D14" s="69">
        <v>10</v>
      </c>
      <c r="E14" s="168">
        <v>1500</v>
      </c>
      <c r="F14" s="169">
        <f t="shared" si="0"/>
        <v>15000</v>
      </c>
      <c r="G14" s="168">
        <f t="shared" si="1"/>
        <v>60000</v>
      </c>
      <c r="H14" s="164"/>
      <c r="I14" s="169"/>
      <c r="J14" s="180">
        <v>10</v>
      </c>
      <c r="K14" s="181">
        <v>3</v>
      </c>
      <c r="L14" s="146">
        <v>1500</v>
      </c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spans="1:26" ht="15.75" customHeight="1" x14ac:dyDescent="0.15">
      <c r="A15" s="169"/>
      <c r="B15" s="180">
        <v>10</v>
      </c>
      <c r="C15" s="181">
        <v>4</v>
      </c>
      <c r="D15" s="69">
        <v>10</v>
      </c>
      <c r="E15" s="168">
        <v>1500</v>
      </c>
      <c r="F15" s="169">
        <f t="shared" si="0"/>
        <v>15000</v>
      </c>
      <c r="G15" s="168">
        <f t="shared" si="1"/>
        <v>60000</v>
      </c>
      <c r="H15" s="164"/>
      <c r="I15" s="169"/>
      <c r="J15" s="180">
        <v>10</v>
      </c>
      <c r="K15" s="181">
        <v>4</v>
      </c>
      <c r="L15" s="146">
        <v>1500</v>
      </c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spans="1:26" ht="15.75" customHeight="1" x14ac:dyDescent="0.15">
      <c r="A16" s="169"/>
      <c r="B16" s="180">
        <v>10</v>
      </c>
      <c r="C16" s="181">
        <v>5</v>
      </c>
      <c r="D16" s="69">
        <v>10</v>
      </c>
      <c r="E16" s="168">
        <v>1500</v>
      </c>
      <c r="F16" s="169">
        <f t="shared" si="0"/>
        <v>15000</v>
      </c>
      <c r="G16" s="168">
        <f t="shared" si="1"/>
        <v>60000</v>
      </c>
      <c r="H16" s="164"/>
      <c r="I16" s="169"/>
      <c r="J16" s="180">
        <v>10</v>
      </c>
      <c r="K16" s="181">
        <v>5</v>
      </c>
      <c r="L16" s="146">
        <v>1500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26" ht="15.75" customHeight="1" x14ac:dyDescent="0.15">
      <c r="A17" s="169"/>
      <c r="B17" s="180">
        <v>10</v>
      </c>
      <c r="C17" s="181">
        <v>6</v>
      </c>
      <c r="D17" s="69">
        <v>10</v>
      </c>
      <c r="E17" s="168">
        <v>1500</v>
      </c>
      <c r="F17" s="169">
        <f t="shared" si="0"/>
        <v>15000</v>
      </c>
      <c r="G17" s="168">
        <f t="shared" si="1"/>
        <v>60000</v>
      </c>
      <c r="H17" s="164"/>
      <c r="I17" s="169"/>
      <c r="J17" s="180">
        <v>10</v>
      </c>
      <c r="K17" s="181">
        <v>6</v>
      </c>
      <c r="L17" s="146">
        <v>1500</v>
      </c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26" ht="15.75" customHeight="1" x14ac:dyDescent="0.15">
      <c r="A18" s="169"/>
      <c r="B18" s="180">
        <v>10</v>
      </c>
      <c r="C18" s="181">
        <v>7</v>
      </c>
      <c r="D18" s="69">
        <v>10</v>
      </c>
      <c r="E18" s="168">
        <v>1500</v>
      </c>
      <c r="F18" s="169">
        <f t="shared" si="0"/>
        <v>15000</v>
      </c>
      <c r="G18" s="168">
        <f t="shared" si="1"/>
        <v>60000</v>
      </c>
      <c r="H18" s="164"/>
      <c r="I18" s="169"/>
      <c r="J18" s="180">
        <v>10</v>
      </c>
      <c r="K18" s="181">
        <v>7</v>
      </c>
      <c r="L18" s="146">
        <v>1500</v>
      </c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spans="1:26" ht="15.75" customHeight="1" x14ac:dyDescent="0.15">
      <c r="A19" s="169"/>
      <c r="B19" s="180">
        <v>10</v>
      </c>
      <c r="C19" s="181">
        <v>8</v>
      </c>
      <c r="D19" s="69">
        <v>10</v>
      </c>
      <c r="E19" s="168">
        <v>1500</v>
      </c>
      <c r="F19" s="169">
        <f t="shared" si="0"/>
        <v>15000</v>
      </c>
      <c r="G19" s="168">
        <f t="shared" si="1"/>
        <v>60000</v>
      </c>
      <c r="H19" s="164"/>
      <c r="I19" s="169"/>
      <c r="J19" s="180">
        <v>10</v>
      </c>
      <c r="K19" s="181">
        <v>8</v>
      </c>
      <c r="L19" s="146">
        <v>1500</v>
      </c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spans="1:26" ht="15.75" customHeight="1" x14ac:dyDescent="0.15">
      <c r="A20" s="169"/>
      <c r="B20" s="180">
        <v>10</v>
      </c>
      <c r="C20" s="181">
        <v>9</v>
      </c>
      <c r="D20" s="69">
        <v>10</v>
      </c>
      <c r="E20" s="168">
        <v>1500</v>
      </c>
      <c r="F20" s="169">
        <f t="shared" si="0"/>
        <v>15000</v>
      </c>
      <c r="G20" s="168">
        <f t="shared" si="1"/>
        <v>60000</v>
      </c>
      <c r="H20" s="164"/>
      <c r="I20" s="169"/>
      <c r="J20" s="180">
        <v>10</v>
      </c>
      <c r="K20" s="181">
        <v>9</v>
      </c>
      <c r="L20" s="146">
        <v>1500</v>
      </c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spans="1:26" ht="15.75" customHeight="1" x14ac:dyDescent="0.15">
      <c r="A21" s="182" t="s">
        <v>156</v>
      </c>
      <c r="B21" s="144">
        <v>10</v>
      </c>
      <c r="C21" s="183">
        <v>0</v>
      </c>
      <c r="D21" s="184">
        <v>10</v>
      </c>
      <c r="E21" s="149">
        <v>3000</v>
      </c>
      <c r="F21" s="184">
        <f t="shared" si="0"/>
        <v>30000</v>
      </c>
      <c r="G21" s="149">
        <f t="shared" si="1"/>
        <v>120000</v>
      </c>
      <c r="H21" s="55"/>
      <c r="I21" s="182" t="s">
        <v>156</v>
      </c>
      <c r="J21" s="144">
        <v>10</v>
      </c>
      <c r="K21" s="185">
        <v>0</v>
      </c>
      <c r="L21" s="149">
        <v>2000</v>
      </c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spans="1:26" ht="15.75" customHeight="1" x14ac:dyDescent="0.15">
      <c r="A22" s="186"/>
      <c r="B22" s="144">
        <v>10</v>
      </c>
      <c r="C22" s="183">
        <v>1</v>
      </c>
      <c r="D22" s="184">
        <v>10</v>
      </c>
      <c r="E22" s="149">
        <v>3000</v>
      </c>
      <c r="F22" s="184">
        <f t="shared" si="0"/>
        <v>30000</v>
      </c>
      <c r="G22" s="149">
        <f t="shared" si="1"/>
        <v>120000</v>
      </c>
      <c r="H22" s="55"/>
      <c r="I22" s="186"/>
      <c r="J22" s="144">
        <v>10</v>
      </c>
      <c r="K22" s="185">
        <v>1</v>
      </c>
      <c r="L22" s="149">
        <v>2000</v>
      </c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spans="1:26" ht="15.75" customHeight="1" x14ac:dyDescent="0.15">
      <c r="A23" s="186"/>
      <c r="B23" s="144">
        <v>10</v>
      </c>
      <c r="C23" s="183">
        <v>2</v>
      </c>
      <c r="D23" s="184">
        <v>10</v>
      </c>
      <c r="E23" s="149">
        <v>3000</v>
      </c>
      <c r="F23" s="184">
        <f t="shared" si="0"/>
        <v>30000</v>
      </c>
      <c r="G23" s="149">
        <f t="shared" si="1"/>
        <v>120000</v>
      </c>
      <c r="H23" s="55"/>
      <c r="I23" s="186"/>
      <c r="J23" s="144">
        <v>10</v>
      </c>
      <c r="K23" s="185">
        <v>2</v>
      </c>
      <c r="L23" s="149">
        <v>2000</v>
      </c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spans="1:26" ht="15.75" customHeight="1" x14ac:dyDescent="0.15">
      <c r="A24" s="186"/>
      <c r="B24" s="144">
        <v>10</v>
      </c>
      <c r="C24" s="183">
        <v>3</v>
      </c>
      <c r="D24" s="184">
        <v>10</v>
      </c>
      <c r="E24" s="149">
        <v>3000</v>
      </c>
      <c r="F24" s="184">
        <f t="shared" si="0"/>
        <v>30000</v>
      </c>
      <c r="G24" s="149">
        <f t="shared" si="1"/>
        <v>120000</v>
      </c>
      <c r="H24" s="55"/>
      <c r="I24" s="186"/>
      <c r="J24" s="144">
        <v>10</v>
      </c>
      <c r="K24" s="185">
        <v>3</v>
      </c>
      <c r="L24" s="149">
        <v>2000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spans="1:26" ht="15.75" customHeight="1" x14ac:dyDescent="0.15">
      <c r="A25" s="186"/>
      <c r="B25" s="144">
        <v>10</v>
      </c>
      <c r="C25" s="183">
        <v>4</v>
      </c>
      <c r="D25" s="184">
        <v>10</v>
      </c>
      <c r="E25" s="149">
        <v>3000</v>
      </c>
      <c r="F25" s="184">
        <f t="shared" si="0"/>
        <v>30000</v>
      </c>
      <c r="G25" s="149">
        <f t="shared" si="1"/>
        <v>120000</v>
      </c>
      <c r="H25" s="55"/>
      <c r="I25" s="186"/>
      <c r="J25" s="144">
        <v>10</v>
      </c>
      <c r="K25" s="185">
        <v>4</v>
      </c>
      <c r="L25" s="149">
        <v>2000</v>
      </c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spans="1:26" ht="15.75" customHeight="1" x14ac:dyDescent="0.15">
      <c r="A26" s="186"/>
      <c r="B26" s="144">
        <v>10</v>
      </c>
      <c r="C26" s="183">
        <v>5</v>
      </c>
      <c r="D26" s="184">
        <v>10</v>
      </c>
      <c r="E26" s="149">
        <v>3000</v>
      </c>
      <c r="F26" s="184">
        <f t="shared" si="0"/>
        <v>30000</v>
      </c>
      <c r="G26" s="149">
        <f t="shared" si="1"/>
        <v>120000</v>
      </c>
      <c r="H26" s="55"/>
      <c r="I26" s="186"/>
      <c r="J26" s="144">
        <v>10</v>
      </c>
      <c r="K26" s="185">
        <v>5</v>
      </c>
      <c r="L26" s="149">
        <v>2000</v>
      </c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spans="1:26" ht="15.75" customHeight="1" x14ac:dyDescent="0.15">
      <c r="A27" s="186"/>
      <c r="B27" s="144">
        <v>10</v>
      </c>
      <c r="C27" s="183">
        <v>6</v>
      </c>
      <c r="D27" s="184">
        <v>10</v>
      </c>
      <c r="E27" s="149">
        <v>3000</v>
      </c>
      <c r="F27" s="184">
        <f t="shared" si="0"/>
        <v>30000</v>
      </c>
      <c r="G27" s="149">
        <f t="shared" si="1"/>
        <v>120000</v>
      </c>
      <c r="H27" s="55"/>
      <c r="I27" s="186"/>
      <c r="J27" s="144">
        <v>10</v>
      </c>
      <c r="K27" s="185">
        <v>6</v>
      </c>
      <c r="L27" s="149">
        <v>2000</v>
      </c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spans="1:26" ht="15.75" customHeight="1" x14ac:dyDescent="0.15">
      <c r="A28" s="186"/>
      <c r="B28" s="144">
        <v>10</v>
      </c>
      <c r="C28" s="183">
        <v>7</v>
      </c>
      <c r="D28" s="184">
        <v>10</v>
      </c>
      <c r="E28" s="149">
        <v>3000</v>
      </c>
      <c r="F28" s="184">
        <f t="shared" si="0"/>
        <v>30000</v>
      </c>
      <c r="G28" s="149">
        <f t="shared" si="1"/>
        <v>120000</v>
      </c>
      <c r="H28" s="55"/>
      <c r="I28" s="186"/>
      <c r="J28" s="144">
        <v>10</v>
      </c>
      <c r="K28" s="185">
        <v>7</v>
      </c>
      <c r="L28" s="149">
        <v>2000</v>
      </c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spans="1:26" ht="15.75" customHeight="1" x14ac:dyDescent="0.15">
      <c r="A29" s="186"/>
      <c r="B29" s="144">
        <v>10</v>
      </c>
      <c r="C29" s="183">
        <v>8</v>
      </c>
      <c r="D29" s="184">
        <v>10</v>
      </c>
      <c r="E29" s="149">
        <v>3000</v>
      </c>
      <c r="F29" s="184">
        <f t="shared" si="0"/>
        <v>30000</v>
      </c>
      <c r="G29" s="149">
        <f t="shared" si="1"/>
        <v>120000</v>
      </c>
      <c r="H29" s="55"/>
      <c r="I29" s="186"/>
      <c r="J29" s="144">
        <v>10</v>
      </c>
      <c r="K29" s="185">
        <v>8</v>
      </c>
      <c r="L29" s="149">
        <v>2000</v>
      </c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spans="1:26" ht="15.75" customHeight="1" x14ac:dyDescent="0.15">
      <c r="A30" s="186"/>
      <c r="B30" s="144">
        <v>10</v>
      </c>
      <c r="C30" s="183">
        <v>9</v>
      </c>
      <c r="D30" s="184">
        <v>10</v>
      </c>
      <c r="E30" s="149">
        <v>3000</v>
      </c>
      <c r="F30" s="184">
        <f t="shared" si="0"/>
        <v>30000</v>
      </c>
      <c r="G30" s="149">
        <f t="shared" si="1"/>
        <v>120000</v>
      </c>
      <c r="H30" s="55"/>
      <c r="I30" s="186"/>
      <c r="J30" s="144">
        <v>10</v>
      </c>
      <c r="K30" s="185">
        <v>9</v>
      </c>
      <c r="L30" s="149">
        <v>2000</v>
      </c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spans="1:26" ht="15.75" customHeight="1" x14ac:dyDescent="0.15">
      <c r="A31" s="187" t="s">
        <v>41</v>
      </c>
      <c r="B31" s="147">
        <v>10</v>
      </c>
      <c r="C31" s="188">
        <v>0</v>
      </c>
      <c r="D31" s="143">
        <v>10</v>
      </c>
      <c r="E31" s="146">
        <v>6000</v>
      </c>
      <c r="F31" s="143">
        <f t="shared" si="0"/>
        <v>60000</v>
      </c>
      <c r="G31" s="146">
        <f t="shared" si="1"/>
        <v>240000</v>
      </c>
      <c r="H31" s="55"/>
      <c r="I31" s="187" t="s">
        <v>41</v>
      </c>
      <c r="J31" s="147">
        <v>10</v>
      </c>
      <c r="K31" s="188">
        <v>0</v>
      </c>
      <c r="L31" s="71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spans="1:26" ht="15.75" customHeight="1" x14ac:dyDescent="0.15">
      <c r="A32" s="189"/>
      <c r="B32" s="147">
        <v>10</v>
      </c>
      <c r="C32" s="188">
        <v>1</v>
      </c>
      <c r="D32" s="143">
        <v>10</v>
      </c>
      <c r="E32" s="146">
        <v>6000</v>
      </c>
      <c r="F32" s="143">
        <f t="shared" si="0"/>
        <v>60000</v>
      </c>
      <c r="G32" s="146">
        <f t="shared" si="1"/>
        <v>240000</v>
      </c>
      <c r="H32" s="55"/>
      <c r="I32" s="189"/>
      <c r="J32" s="147">
        <v>10</v>
      </c>
      <c r="K32" s="188">
        <v>1</v>
      </c>
      <c r="L32" s="71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spans="1:26" ht="15.75" customHeight="1" x14ac:dyDescent="0.15">
      <c r="A33" s="189"/>
      <c r="B33" s="147">
        <v>10</v>
      </c>
      <c r="C33" s="188">
        <v>2</v>
      </c>
      <c r="D33" s="143">
        <v>10</v>
      </c>
      <c r="E33" s="146">
        <v>6000</v>
      </c>
      <c r="F33" s="143">
        <f t="shared" si="0"/>
        <v>60000</v>
      </c>
      <c r="G33" s="146">
        <f t="shared" si="1"/>
        <v>240000</v>
      </c>
      <c r="H33" s="55"/>
      <c r="I33" s="189"/>
      <c r="J33" s="147">
        <v>10</v>
      </c>
      <c r="K33" s="188">
        <v>2</v>
      </c>
      <c r="L33" s="71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spans="1:26" ht="15.75" customHeight="1" x14ac:dyDescent="0.15">
      <c r="A34" s="189"/>
      <c r="B34" s="147">
        <v>10</v>
      </c>
      <c r="C34" s="188">
        <v>3</v>
      </c>
      <c r="D34" s="143">
        <v>10</v>
      </c>
      <c r="E34" s="146">
        <v>6000</v>
      </c>
      <c r="F34" s="143">
        <f t="shared" si="0"/>
        <v>60000</v>
      </c>
      <c r="G34" s="146">
        <f t="shared" si="1"/>
        <v>240000</v>
      </c>
      <c r="H34" s="55"/>
      <c r="I34" s="189"/>
      <c r="J34" s="147">
        <v>10</v>
      </c>
      <c r="K34" s="188">
        <v>3</v>
      </c>
      <c r="L34" s="71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spans="1:26" ht="15.75" customHeight="1" x14ac:dyDescent="0.15">
      <c r="A35" s="189"/>
      <c r="B35" s="147">
        <v>10</v>
      </c>
      <c r="C35" s="188">
        <v>4</v>
      </c>
      <c r="D35" s="143">
        <v>10</v>
      </c>
      <c r="E35" s="146">
        <v>6000</v>
      </c>
      <c r="F35" s="143">
        <f t="shared" si="0"/>
        <v>60000</v>
      </c>
      <c r="G35" s="146">
        <f t="shared" si="1"/>
        <v>240000</v>
      </c>
      <c r="H35" s="55"/>
      <c r="I35" s="189"/>
      <c r="J35" s="147">
        <v>10</v>
      </c>
      <c r="K35" s="188">
        <v>4</v>
      </c>
      <c r="L35" s="71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spans="1:26" ht="15.75" customHeight="1" x14ac:dyDescent="0.15">
      <c r="A36" s="189"/>
      <c r="B36" s="147">
        <v>10</v>
      </c>
      <c r="C36" s="188">
        <v>5</v>
      </c>
      <c r="D36" s="143">
        <v>10</v>
      </c>
      <c r="E36" s="146">
        <v>6000</v>
      </c>
      <c r="F36" s="143">
        <f t="shared" si="0"/>
        <v>60000</v>
      </c>
      <c r="G36" s="146">
        <f t="shared" si="1"/>
        <v>240000</v>
      </c>
      <c r="H36" s="55"/>
      <c r="I36" s="189"/>
      <c r="J36" s="147">
        <v>10</v>
      </c>
      <c r="K36" s="188">
        <v>5</v>
      </c>
      <c r="L36" s="71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spans="1:26" ht="15.75" customHeight="1" x14ac:dyDescent="0.15">
      <c r="A37" s="189"/>
      <c r="B37" s="147">
        <v>10</v>
      </c>
      <c r="C37" s="188">
        <v>6</v>
      </c>
      <c r="D37" s="143">
        <v>10</v>
      </c>
      <c r="E37" s="146">
        <v>6000</v>
      </c>
      <c r="F37" s="143">
        <f t="shared" si="0"/>
        <v>60000</v>
      </c>
      <c r="G37" s="146">
        <f t="shared" si="1"/>
        <v>240000</v>
      </c>
      <c r="H37" s="55"/>
      <c r="I37" s="189"/>
      <c r="J37" s="147">
        <v>10</v>
      </c>
      <c r="K37" s="188">
        <v>6</v>
      </c>
      <c r="L37" s="71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spans="1:26" ht="15.75" customHeight="1" x14ac:dyDescent="0.15">
      <c r="A38" s="189"/>
      <c r="B38" s="147">
        <v>10</v>
      </c>
      <c r="C38" s="188">
        <v>7</v>
      </c>
      <c r="D38" s="143">
        <v>10</v>
      </c>
      <c r="E38" s="146">
        <v>6000</v>
      </c>
      <c r="F38" s="143">
        <f t="shared" si="0"/>
        <v>60000</v>
      </c>
      <c r="G38" s="146">
        <f t="shared" si="1"/>
        <v>240000</v>
      </c>
      <c r="H38" s="55"/>
      <c r="I38" s="189"/>
      <c r="J38" s="147">
        <v>10</v>
      </c>
      <c r="K38" s="188">
        <v>7</v>
      </c>
      <c r="L38" s="71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spans="1:26" ht="15.75" customHeight="1" x14ac:dyDescent="0.15">
      <c r="A39" s="189"/>
      <c r="B39" s="147">
        <v>10</v>
      </c>
      <c r="C39" s="188">
        <v>8</v>
      </c>
      <c r="D39" s="143">
        <v>10</v>
      </c>
      <c r="E39" s="146">
        <v>6000</v>
      </c>
      <c r="F39" s="143">
        <f t="shared" si="0"/>
        <v>60000</v>
      </c>
      <c r="G39" s="146">
        <f t="shared" si="1"/>
        <v>240000</v>
      </c>
      <c r="H39" s="55"/>
      <c r="I39" s="189"/>
      <c r="J39" s="147">
        <v>10</v>
      </c>
      <c r="K39" s="188">
        <v>8</v>
      </c>
      <c r="L39" s="71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spans="1:26" ht="15.75" customHeight="1" x14ac:dyDescent="0.15">
      <c r="A40" s="189"/>
      <c r="B40" s="147">
        <v>10</v>
      </c>
      <c r="C40" s="188">
        <v>9</v>
      </c>
      <c r="D40" s="143">
        <v>10</v>
      </c>
      <c r="E40" s="146">
        <v>6000</v>
      </c>
      <c r="F40" s="143">
        <f t="shared" si="0"/>
        <v>60000</v>
      </c>
      <c r="G40" s="146">
        <f t="shared" si="1"/>
        <v>240000</v>
      </c>
      <c r="H40" s="55"/>
      <c r="I40" s="189"/>
      <c r="J40" s="147">
        <v>10</v>
      </c>
      <c r="K40" s="188">
        <v>9</v>
      </c>
      <c r="L40" s="71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spans="1:26" ht="15.75" customHeight="1" x14ac:dyDescent="0.15">
      <c r="A41" s="190"/>
      <c r="B41" s="151">
        <v>10</v>
      </c>
      <c r="C41" s="191">
        <v>10</v>
      </c>
      <c r="D41" s="192" t="s">
        <v>113</v>
      </c>
      <c r="E41" s="193" t="s">
        <v>113</v>
      </c>
      <c r="F41" s="192" t="s">
        <v>113</v>
      </c>
      <c r="G41" s="193" t="s">
        <v>113</v>
      </c>
      <c r="H41" s="55"/>
      <c r="I41" s="190"/>
      <c r="J41" s="151">
        <v>10</v>
      </c>
      <c r="K41" s="191">
        <v>10</v>
      </c>
      <c r="L41" s="193" t="s">
        <v>113</v>
      </c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spans="1:26" ht="15.75" customHeight="1" x14ac:dyDescent="0.1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spans="1:26" ht="15.75" customHeight="1" x14ac:dyDescent="0.15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spans="1:26" ht="15.75" customHeight="1" x14ac:dyDescent="0.15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spans="1:26" ht="15.75" customHeight="1" x14ac:dyDescent="0.1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spans="1:26" ht="15.75" customHeight="1" x14ac:dyDescent="0.15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spans="1:26" ht="15.75" customHeight="1" x14ac:dyDescent="0.15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spans="1:26" ht="15.75" customHeight="1" x14ac:dyDescent="0.15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spans="1:26" ht="15.75" customHeight="1" x14ac:dyDescent="0.15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spans="1:26" ht="15.75" customHeight="1" x14ac:dyDescent="0.15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spans="1:26" ht="15.75" customHeight="1" x14ac:dyDescent="0.15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spans="1:26" ht="15.75" customHeight="1" x14ac:dyDescent="0.15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spans="1:26" ht="15.75" customHeight="1" x14ac:dyDescent="0.15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spans="1:26" ht="15.75" customHeight="1" x14ac:dyDescent="0.15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spans="1:26" ht="15.75" customHeight="1" x14ac:dyDescent="0.1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spans="1:26" ht="15.75" customHeight="1" x14ac:dyDescent="0.15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spans="1:26" ht="15.75" customHeight="1" x14ac:dyDescent="0.15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spans="1:26" ht="15.75" customHeight="1" x14ac:dyDescent="0.15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spans="1:26" ht="15.75" customHeight="1" x14ac:dyDescent="0.15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spans="1:26" ht="15.75" customHeight="1" x14ac:dyDescent="0.15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spans="1:26" ht="15.75" customHeight="1" x14ac:dyDescent="0.15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spans="1:26" ht="15.75" customHeight="1" x14ac:dyDescent="0.15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spans="1:26" ht="15.75" customHeight="1" x14ac:dyDescent="0.15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spans="1:26" ht="15.75" customHeight="1" x14ac:dyDescent="0.15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spans="1:26" ht="15.75" customHeight="1" x14ac:dyDescent="0.1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spans="1:26" ht="15.75" customHeight="1" x14ac:dyDescent="0.15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spans="1:26" ht="15.75" customHeight="1" x14ac:dyDescent="0.15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spans="1:26" ht="15.75" customHeight="1" x14ac:dyDescent="0.15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spans="1:26" ht="15.75" customHeight="1" x14ac:dyDescent="0.15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spans="1:26" ht="15.75" customHeight="1" x14ac:dyDescent="0.1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spans="1:26" ht="15.75" customHeight="1" x14ac:dyDescent="0.1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spans="1:26" ht="15.75" customHeight="1" x14ac:dyDescent="0.1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spans="1:26" ht="15.75" customHeight="1" x14ac:dyDescent="0.1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spans="1:26" ht="15.75" customHeight="1" x14ac:dyDescent="0.1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spans="1:26" ht="15.75" customHeight="1" x14ac:dyDescent="0.1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spans="1:26" ht="15.75" customHeight="1" x14ac:dyDescent="0.1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spans="1:26" ht="15.75" customHeight="1" x14ac:dyDescent="0.15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spans="1:26" ht="15.75" customHeight="1" x14ac:dyDescent="0.15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spans="1:26" ht="15.75" customHeight="1" x14ac:dyDescent="0.15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spans="1:26" ht="15.75" customHeight="1" x14ac:dyDescent="0.15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spans="1:26" ht="15.75" customHeight="1" x14ac:dyDescent="0.15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spans="1:26" ht="15.75" customHeight="1" x14ac:dyDescent="0.15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spans="1:26" ht="15.75" customHeight="1" x14ac:dyDescent="0.15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spans="1:26" ht="15.75" customHeight="1" x14ac:dyDescent="0.15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spans="1:26" ht="15.75" customHeight="1" x14ac:dyDescent="0.1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spans="1:26" ht="15.75" customHeight="1" x14ac:dyDescent="0.15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spans="1:26" ht="15.75" customHeight="1" x14ac:dyDescent="0.15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spans="1:26" ht="15.75" customHeight="1" x14ac:dyDescent="0.15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spans="1:26" ht="15.75" customHeight="1" x14ac:dyDescent="0.15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spans="1:26" ht="15.75" customHeight="1" x14ac:dyDescent="0.15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spans="1:26" ht="15.75" customHeight="1" x14ac:dyDescent="0.15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spans="1:26" ht="15.75" customHeight="1" x14ac:dyDescent="0.15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spans="1:26" ht="15.75" customHeight="1" x14ac:dyDescent="0.15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spans="1:26" ht="15.75" customHeight="1" x14ac:dyDescent="0.15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spans="1:26" ht="15.75" customHeight="1" x14ac:dyDescent="0.1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spans="1:26" ht="15.75" customHeight="1" x14ac:dyDescent="0.15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spans="1:26" ht="15.75" customHeight="1" x14ac:dyDescent="0.15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spans="1:26" ht="15.75" customHeight="1" x14ac:dyDescent="0.15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spans="1:26" ht="15.75" customHeight="1" x14ac:dyDescent="0.15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spans="1:26" ht="15.75" customHeight="1" x14ac:dyDescent="0.15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spans="1:26" ht="15.75" customHeight="1" x14ac:dyDescent="0.15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spans="1:26" ht="15.75" customHeight="1" x14ac:dyDescent="0.15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spans="1:26" ht="15.75" customHeight="1" x14ac:dyDescent="0.15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spans="1:26" ht="15.75" customHeight="1" x14ac:dyDescent="0.15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spans="1:26" ht="15.75" customHeight="1" x14ac:dyDescent="0.1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spans="1:26" ht="15.75" customHeight="1" x14ac:dyDescent="0.15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spans="1:26" ht="15.75" customHeight="1" x14ac:dyDescent="0.15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spans="1:26" ht="15.75" customHeight="1" x14ac:dyDescent="0.15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spans="1:26" ht="15.75" customHeight="1" x14ac:dyDescent="0.15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spans="1:26" ht="15.75" customHeight="1" x14ac:dyDescent="0.15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spans="1:26" ht="15.75" customHeight="1" x14ac:dyDescent="0.15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spans="1:26" ht="15.75" customHeight="1" x14ac:dyDescent="0.15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spans="1:26" ht="15.75" customHeight="1" x14ac:dyDescent="0.15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spans="1:26" ht="15.75" customHeight="1" x14ac:dyDescent="0.15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spans="1:26" ht="15.75" customHeight="1" x14ac:dyDescent="0.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spans="1:26" ht="15.75" customHeight="1" x14ac:dyDescent="0.15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spans="1:26" ht="15.75" customHeight="1" x14ac:dyDescent="0.15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spans="1:26" ht="15.75" customHeight="1" x14ac:dyDescent="0.15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spans="1:26" ht="15.75" customHeight="1" x14ac:dyDescent="0.15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spans="1:26" ht="15.75" customHeight="1" x14ac:dyDescent="0.15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spans="1:26" ht="15.75" customHeight="1" x14ac:dyDescent="0.15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spans="1:26" ht="15.75" customHeight="1" x14ac:dyDescent="0.15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spans="1:26" ht="15.75" customHeight="1" x14ac:dyDescent="0.15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spans="1:26" ht="15.75" customHeight="1" x14ac:dyDescent="0.15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spans="1:26" ht="15.75" customHeight="1" x14ac:dyDescent="0.1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spans="1:26" ht="15.75" customHeight="1" x14ac:dyDescent="0.15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spans="1:26" ht="15.75" customHeight="1" x14ac:dyDescent="0.15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spans="1:26" ht="15.75" customHeight="1" x14ac:dyDescent="0.15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spans="1:26" ht="15.75" customHeight="1" x14ac:dyDescent="0.15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spans="1:26" ht="15.75" customHeight="1" x14ac:dyDescent="0.15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spans="1:26" ht="15.75" customHeight="1" x14ac:dyDescent="0.15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spans="1:26" ht="15.75" customHeight="1" x14ac:dyDescent="0.15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spans="1:26" ht="15.75" customHeight="1" x14ac:dyDescent="0.15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spans="1:26" ht="15.75" customHeight="1" x14ac:dyDescent="0.15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spans="1:26" ht="15.75" customHeight="1" x14ac:dyDescent="0.1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spans="1:26" ht="15.75" customHeight="1" x14ac:dyDescent="0.15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spans="1:26" ht="15.75" customHeight="1" x14ac:dyDescent="0.15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spans="1:26" ht="15.75" customHeight="1" x14ac:dyDescent="0.15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spans="1:26" ht="15.75" customHeight="1" x14ac:dyDescent="0.15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spans="1:26" ht="15.75" customHeight="1" x14ac:dyDescent="0.15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spans="1:26" ht="15.75" customHeight="1" x14ac:dyDescent="0.15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spans="1:26" ht="15.75" customHeight="1" x14ac:dyDescent="0.15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spans="1:26" ht="15.75" customHeight="1" x14ac:dyDescent="0.15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spans="1:26" ht="15.75" customHeight="1" x14ac:dyDescent="0.15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spans="1:26" ht="15.75" customHeight="1" x14ac:dyDescent="0.1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spans="1:26" ht="15.75" customHeight="1" x14ac:dyDescent="0.15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spans="1:26" ht="15.75" customHeight="1" x14ac:dyDescent="0.15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spans="1:26" ht="15.75" customHeight="1" x14ac:dyDescent="0.15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spans="1:26" ht="15.75" customHeight="1" x14ac:dyDescent="0.15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spans="1:26" ht="15.75" customHeight="1" x14ac:dyDescent="0.15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spans="1:26" ht="15.75" customHeight="1" x14ac:dyDescent="0.15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spans="1:26" ht="15.75" customHeight="1" x14ac:dyDescent="0.15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spans="1:26" ht="15.75" customHeight="1" x14ac:dyDescent="0.15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spans="1:26" ht="15.75" customHeight="1" x14ac:dyDescent="0.15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spans="1:26" ht="15.75" customHeight="1" x14ac:dyDescent="0.1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spans="1:26" ht="15.75" customHeight="1" x14ac:dyDescent="0.15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spans="1:26" ht="15.75" customHeight="1" x14ac:dyDescent="0.15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spans="1:26" ht="15.75" customHeight="1" x14ac:dyDescent="0.15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spans="1:26" ht="15.75" customHeight="1" x14ac:dyDescent="0.15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spans="1:26" ht="15.75" customHeight="1" x14ac:dyDescent="0.15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spans="1:26" ht="15.75" customHeight="1" x14ac:dyDescent="0.15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spans="1:26" ht="15.75" customHeight="1" x14ac:dyDescent="0.15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spans="1:26" ht="15.75" customHeight="1" x14ac:dyDescent="0.15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spans="1:26" ht="15.75" customHeight="1" x14ac:dyDescent="0.15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spans="1:26" ht="15.75" customHeight="1" x14ac:dyDescent="0.1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spans="1:26" ht="15.75" customHeight="1" x14ac:dyDescent="0.15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spans="1:26" ht="15.75" customHeight="1" x14ac:dyDescent="0.15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spans="1:26" ht="15.75" customHeight="1" x14ac:dyDescent="0.15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spans="1:26" ht="15.75" customHeight="1" x14ac:dyDescent="0.15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spans="1:26" ht="15.75" customHeight="1" x14ac:dyDescent="0.15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spans="1:26" ht="15.75" customHeight="1" x14ac:dyDescent="0.15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spans="1:26" ht="15.75" customHeight="1" x14ac:dyDescent="0.15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spans="1:26" ht="15.75" customHeight="1" x14ac:dyDescent="0.15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spans="1:26" ht="15.75" customHeight="1" x14ac:dyDescent="0.15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spans="1:26" ht="15.75" customHeight="1" x14ac:dyDescent="0.1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spans="1:26" ht="15.75" customHeight="1" x14ac:dyDescent="0.15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spans="1:26" ht="15.75" customHeight="1" x14ac:dyDescent="0.15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spans="1:26" ht="15.75" customHeight="1" x14ac:dyDescent="0.15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spans="1:26" ht="15.75" customHeight="1" x14ac:dyDescent="0.15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spans="1:26" ht="15.75" customHeight="1" x14ac:dyDescent="0.15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spans="1:26" ht="15.75" customHeight="1" x14ac:dyDescent="0.15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spans="1:26" ht="15.75" customHeight="1" x14ac:dyDescent="0.15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spans="1:26" ht="15.75" customHeight="1" x14ac:dyDescent="0.15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spans="1:26" ht="15.75" customHeight="1" x14ac:dyDescent="0.15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spans="1:26" ht="15.75" customHeight="1" x14ac:dyDescent="0.1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spans="1:26" ht="15.75" customHeight="1" x14ac:dyDescent="0.15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spans="1:26" ht="15.75" customHeight="1" x14ac:dyDescent="0.15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spans="1:26" ht="15.75" customHeight="1" x14ac:dyDescent="0.15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spans="1:26" ht="15.75" customHeight="1" x14ac:dyDescent="0.15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spans="1:26" ht="15.75" customHeight="1" x14ac:dyDescent="0.15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spans="1:26" ht="15.75" customHeight="1" x14ac:dyDescent="0.15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spans="1:26" ht="15.75" customHeight="1" x14ac:dyDescent="0.15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spans="1:26" ht="15.75" customHeight="1" x14ac:dyDescent="0.15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spans="1:26" ht="15.75" customHeight="1" x14ac:dyDescent="0.15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spans="1:26" ht="15.75" customHeight="1" x14ac:dyDescent="0.1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spans="1:26" ht="15.75" customHeight="1" x14ac:dyDescent="0.15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spans="1:26" ht="15.75" customHeight="1" x14ac:dyDescent="0.15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spans="1:26" ht="15.75" customHeight="1" x14ac:dyDescent="0.15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spans="1:26" ht="15.75" customHeight="1" x14ac:dyDescent="0.15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spans="1:26" ht="15.75" customHeight="1" x14ac:dyDescent="0.15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spans="1:26" ht="15.75" customHeight="1" x14ac:dyDescent="0.15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spans="1:26" ht="15.75" customHeight="1" x14ac:dyDescent="0.15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spans="1:26" ht="15.75" customHeight="1" x14ac:dyDescent="0.15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spans="1:26" ht="15.75" customHeight="1" x14ac:dyDescent="0.15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spans="1:26" ht="15.75" customHeight="1" x14ac:dyDescent="0.1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spans="1:26" ht="15.75" customHeight="1" x14ac:dyDescent="0.15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spans="1:26" ht="15.75" customHeight="1" x14ac:dyDescent="0.15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spans="1:26" ht="15.75" customHeight="1" x14ac:dyDescent="0.15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spans="1:26" ht="15.75" customHeight="1" x14ac:dyDescent="0.15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spans="1:26" ht="15.75" customHeight="1" x14ac:dyDescent="0.15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spans="1:26" ht="15.75" customHeight="1" x14ac:dyDescent="0.15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spans="1:26" ht="15.75" customHeight="1" x14ac:dyDescent="0.15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spans="1:26" ht="15.75" customHeight="1" x14ac:dyDescent="0.15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spans="1:26" ht="15.75" customHeight="1" x14ac:dyDescent="0.15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spans="1:26" ht="15.75" customHeight="1" x14ac:dyDescent="0.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spans="1:26" ht="15.75" customHeight="1" x14ac:dyDescent="0.15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spans="1:26" ht="15.75" customHeight="1" x14ac:dyDescent="0.15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spans="1:26" ht="15.75" customHeight="1" x14ac:dyDescent="0.15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spans="1:26" ht="15.75" customHeight="1" x14ac:dyDescent="0.15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spans="1:26" ht="15.75" customHeight="1" x14ac:dyDescent="0.15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spans="1:26" ht="15.75" customHeight="1" x14ac:dyDescent="0.15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spans="1:26" ht="15.75" customHeight="1" x14ac:dyDescent="0.15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spans="1:26" ht="15.75" customHeight="1" x14ac:dyDescent="0.15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spans="1:26" ht="15.75" customHeight="1" x14ac:dyDescent="0.15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spans="1:26" ht="15.75" customHeight="1" x14ac:dyDescent="0.1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spans="1:26" ht="15.75" customHeight="1" x14ac:dyDescent="0.15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spans="1:26" ht="15.75" customHeight="1" x14ac:dyDescent="0.15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spans="1:26" ht="15.75" customHeight="1" x14ac:dyDescent="0.15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spans="1:26" ht="15.75" customHeight="1" x14ac:dyDescent="0.15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spans="1:26" ht="15.75" customHeight="1" x14ac:dyDescent="0.15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spans="1:26" ht="15.75" customHeight="1" x14ac:dyDescent="0.15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spans="1:26" ht="15.75" customHeight="1" x14ac:dyDescent="0.15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spans="1:26" ht="15.75" customHeight="1" x14ac:dyDescent="0.15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spans="1:26" ht="15.75" customHeight="1" x14ac:dyDescent="0.15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spans="1:26" ht="15.75" customHeight="1" x14ac:dyDescent="0.1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spans="1:26" ht="15.75" customHeight="1" x14ac:dyDescent="0.15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spans="1:26" ht="15.75" customHeight="1" x14ac:dyDescent="0.15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spans="1:26" ht="15.75" customHeight="1" x14ac:dyDescent="0.15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spans="1:26" ht="15.75" customHeight="1" x14ac:dyDescent="0.15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spans="1:26" ht="15.75" customHeight="1" x14ac:dyDescent="0.15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spans="1:26" ht="15.75" customHeight="1" x14ac:dyDescent="0.15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Z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2.6640625" defaultRowHeight="15" customHeight="1" x14ac:dyDescent="0.15"/>
  <cols>
    <col min="1" max="1" width="4.1640625" customWidth="1"/>
    <col min="2" max="52" width="5" customWidth="1"/>
  </cols>
  <sheetData>
    <row r="1" spans="1:52" ht="15.75" customHeight="1" x14ac:dyDescent="0.15">
      <c r="A1" s="194"/>
      <c r="B1" s="472" t="s">
        <v>157</v>
      </c>
      <c r="C1" s="473"/>
      <c r="D1" s="473"/>
      <c r="E1" s="473"/>
      <c r="F1" s="473"/>
      <c r="G1" s="473"/>
      <c r="H1" s="473"/>
      <c r="I1" s="473"/>
      <c r="J1" s="473"/>
      <c r="K1" s="474"/>
      <c r="L1" s="475" t="s">
        <v>157</v>
      </c>
      <c r="M1" s="473"/>
      <c r="N1" s="473"/>
      <c r="O1" s="473"/>
      <c r="P1" s="473"/>
      <c r="Q1" s="473"/>
      <c r="R1" s="473"/>
      <c r="S1" s="473"/>
      <c r="T1" s="473"/>
      <c r="U1" s="474"/>
      <c r="V1" s="476" t="s">
        <v>158</v>
      </c>
      <c r="W1" s="473"/>
      <c r="X1" s="476" t="s">
        <v>159</v>
      </c>
      <c r="Y1" s="473"/>
      <c r="Z1" s="473"/>
      <c r="AA1" s="473"/>
      <c r="AB1" s="473"/>
      <c r="AC1" s="473"/>
      <c r="AD1" s="473"/>
      <c r="AE1" s="474"/>
      <c r="AF1" s="480" t="s">
        <v>158</v>
      </c>
      <c r="AG1" s="473"/>
      <c r="AH1" s="480" t="s">
        <v>159</v>
      </c>
      <c r="AI1" s="473"/>
      <c r="AJ1" s="473"/>
      <c r="AK1" s="473"/>
      <c r="AL1" s="473"/>
      <c r="AM1" s="473"/>
      <c r="AN1" s="473"/>
      <c r="AO1" s="474"/>
      <c r="AP1" s="196"/>
      <c r="AQ1" s="197"/>
      <c r="AR1" s="197"/>
      <c r="AS1" s="197"/>
      <c r="AT1" s="197"/>
      <c r="AU1" s="197"/>
      <c r="AV1" s="197"/>
      <c r="AW1" s="197"/>
      <c r="AX1" s="197"/>
      <c r="AY1" s="197"/>
      <c r="AZ1" s="197"/>
    </row>
    <row r="2" spans="1:52" ht="15.75" customHeight="1" x14ac:dyDescent="0.15">
      <c r="A2" s="194"/>
      <c r="B2" s="198">
        <f t="shared" ref="B2:G2" si="0">SUM(B6:B64)</f>
        <v>1500</v>
      </c>
      <c r="C2" s="198">
        <f t="shared" si="0"/>
        <v>150</v>
      </c>
      <c r="D2" s="198">
        <f t="shared" si="0"/>
        <v>6000</v>
      </c>
      <c r="E2" s="198">
        <f t="shared" si="0"/>
        <v>600</v>
      </c>
      <c r="F2" s="198">
        <f t="shared" si="0"/>
        <v>30000</v>
      </c>
      <c r="G2" s="198">
        <f t="shared" si="0"/>
        <v>3000</v>
      </c>
      <c r="H2" s="481" t="s">
        <v>51</v>
      </c>
      <c r="I2" s="464"/>
      <c r="J2" s="464"/>
      <c r="K2" s="464"/>
      <c r="L2" s="199">
        <f t="shared" ref="L2:W2" si="1">SUM(L6:L64)</f>
        <v>2000</v>
      </c>
      <c r="M2" s="200">
        <f t="shared" si="1"/>
        <v>200</v>
      </c>
      <c r="N2" s="200">
        <f t="shared" si="1"/>
        <v>8069</v>
      </c>
      <c r="O2" s="200">
        <f t="shared" si="1"/>
        <v>808</v>
      </c>
      <c r="P2" s="200">
        <f t="shared" si="1"/>
        <v>40345</v>
      </c>
      <c r="Q2" s="200">
        <f t="shared" si="1"/>
        <v>4040</v>
      </c>
      <c r="R2" s="200">
        <f t="shared" si="1"/>
        <v>1718</v>
      </c>
      <c r="S2" s="200">
        <f t="shared" si="1"/>
        <v>149</v>
      </c>
      <c r="T2" s="200">
        <f t="shared" si="1"/>
        <v>8590</v>
      </c>
      <c r="U2" s="201">
        <f t="shared" si="1"/>
        <v>745</v>
      </c>
      <c r="V2" s="202">
        <f t="shared" si="1"/>
        <v>2000</v>
      </c>
      <c r="W2" s="203">
        <f t="shared" si="1"/>
        <v>200</v>
      </c>
      <c r="X2" s="204">
        <f t="shared" ref="X2:AE2" si="2">SUM(X43:X64)</f>
        <v>8000</v>
      </c>
      <c r="Y2" s="204">
        <f t="shared" si="2"/>
        <v>905</v>
      </c>
      <c r="Z2" s="204">
        <f t="shared" si="2"/>
        <v>40000</v>
      </c>
      <c r="AA2" s="204">
        <f t="shared" si="2"/>
        <v>4525</v>
      </c>
      <c r="AB2" s="204">
        <f t="shared" si="2"/>
        <v>1600</v>
      </c>
      <c r="AC2" s="204">
        <f t="shared" si="2"/>
        <v>181</v>
      </c>
      <c r="AD2" s="204">
        <f t="shared" si="2"/>
        <v>8000</v>
      </c>
      <c r="AE2" s="203">
        <f t="shared" si="2"/>
        <v>905</v>
      </c>
      <c r="AF2" s="205">
        <f t="shared" ref="AF2:AG2" si="3">SUM(AF6:AF64)</f>
        <v>2000</v>
      </c>
      <c r="AG2" s="206">
        <f t="shared" si="3"/>
        <v>200</v>
      </c>
      <c r="AH2" s="207">
        <f t="shared" ref="AH2:AO2" si="4">SUM(AH43:AH64)</f>
        <v>8000</v>
      </c>
      <c r="AI2" s="207">
        <f t="shared" si="4"/>
        <v>905</v>
      </c>
      <c r="AJ2" s="207">
        <f t="shared" si="4"/>
        <v>40000</v>
      </c>
      <c r="AK2" s="207">
        <f t="shared" si="4"/>
        <v>4525</v>
      </c>
      <c r="AL2" s="207">
        <f t="shared" si="4"/>
        <v>1600</v>
      </c>
      <c r="AM2" s="207">
        <f t="shared" si="4"/>
        <v>181</v>
      </c>
      <c r="AN2" s="207">
        <f t="shared" si="4"/>
        <v>8000</v>
      </c>
      <c r="AO2" s="206">
        <f t="shared" si="4"/>
        <v>905</v>
      </c>
      <c r="AP2" s="196"/>
      <c r="AQ2" s="197"/>
      <c r="AR2" s="197"/>
      <c r="AS2" s="197"/>
      <c r="AT2" s="197"/>
      <c r="AU2" s="197"/>
      <c r="AV2" s="197"/>
      <c r="AW2" s="197"/>
      <c r="AX2" s="197"/>
      <c r="AY2" s="197"/>
      <c r="AZ2" s="197"/>
    </row>
    <row r="3" spans="1:52" ht="15.75" customHeight="1" x14ac:dyDescent="0.2">
      <c r="A3" s="208"/>
      <c r="B3" s="472" t="s">
        <v>160</v>
      </c>
      <c r="C3" s="473"/>
      <c r="D3" s="473"/>
      <c r="E3" s="473"/>
      <c r="F3" s="473"/>
      <c r="G3" s="473"/>
      <c r="H3" s="473"/>
      <c r="I3" s="473"/>
      <c r="J3" s="473"/>
      <c r="K3" s="474"/>
      <c r="L3" s="475" t="s">
        <v>161</v>
      </c>
      <c r="M3" s="473"/>
      <c r="N3" s="473"/>
      <c r="O3" s="473"/>
      <c r="P3" s="473"/>
      <c r="Q3" s="473"/>
      <c r="R3" s="473"/>
      <c r="S3" s="473"/>
      <c r="T3" s="473"/>
      <c r="U3" s="474"/>
      <c r="V3" s="476" t="s">
        <v>162</v>
      </c>
      <c r="W3" s="473"/>
      <c r="X3" s="473"/>
      <c r="Y3" s="473"/>
      <c r="Z3" s="473"/>
      <c r="AA3" s="473"/>
      <c r="AB3" s="473"/>
      <c r="AC3" s="473"/>
      <c r="AD3" s="473"/>
      <c r="AE3" s="474"/>
      <c r="AF3" s="477" t="s">
        <v>163</v>
      </c>
      <c r="AG3" s="473"/>
      <c r="AH3" s="473"/>
      <c r="AI3" s="473"/>
      <c r="AJ3" s="473"/>
      <c r="AK3" s="473"/>
      <c r="AL3" s="473"/>
      <c r="AM3" s="473"/>
      <c r="AN3" s="473"/>
      <c r="AO3" s="474"/>
      <c r="AP3" s="196"/>
      <c r="AQ3" s="197"/>
      <c r="AR3" s="197"/>
      <c r="AS3" s="197"/>
      <c r="AT3" s="197"/>
      <c r="AU3" s="197"/>
      <c r="AV3" s="197"/>
      <c r="AW3" s="197"/>
      <c r="AX3" s="197"/>
      <c r="AY3" s="197"/>
      <c r="AZ3" s="197"/>
    </row>
    <row r="4" spans="1:52" ht="15.75" customHeight="1" x14ac:dyDescent="0.2">
      <c r="A4" s="208"/>
      <c r="B4" s="478" t="s">
        <v>164</v>
      </c>
      <c r="C4" s="468"/>
      <c r="D4" s="478" t="s">
        <v>165</v>
      </c>
      <c r="E4" s="468"/>
      <c r="F4" s="478" t="s">
        <v>166</v>
      </c>
      <c r="G4" s="468"/>
      <c r="H4" s="478" t="s">
        <v>167</v>
      </c>
      <c r="I4" s="468"/>
      <c r="J4" s="478" t="s">
        <v>168</v>
      </c>
      <c r="K4" s="479"/>
      <c r="L4" s="483" t="s">
        <v>169</v>
      </c>
      <c r="M4" s="468"/>
      <c r="N4" s="484" t="s">
        <v>170</v>
      </c>
      <c r="O4" s="468"/>
      <c r="P4" s="484" t="s">
        <v>171</v>
      </c>
      <c r="Q4" s="468"/>
      <c r="R4" s="484" t="s">
        <v>172</v>
      </c>
      <c r="S4" s="468"/>
      <c r="T4" s="484" t="s">
        <v>173</v>
      </c>
      <c r="U4" s="479"/>
      <c r="V4" s="485" t="s">
        <v>174</v>
      </c>
      <c r="W4" s="468"/>
      <c r="X4" s="486" t="s">
        <v>175</v>
      </c>
      <c r="Y4" s="468"/>
      <c r="Z4" s="486" t="s">
        <v>176</v>
      </c>
      <c r="AA4" s="468"/>
      <c r="AB4" s="486" t="s">
        <v>177</v>
      </c>
      <c r="AC4" s="468"/>
      <c r="AD4" s="486" t="s">
        <v>178</v>
      </c>
      <c r="AE4" s="479"/>
      <c r="AF4" s="471" t="s">
        <v>179</v>
      </c>
      <c r="AG4" s="468"/>
      <c r="AH4" s="471" t="s">
        <v>131</v>
      </c>
      <c r="AI4" s="468"/>
      <c r="AJ4" s="471" t="s">
        <v>76</v>
      </c>
      <c r="AK4" s="468"/>
      <c r="AL4" s="471" t="s">
        <v>129</v>
      </c>
      <c r="AM4" s="468"/>
      <c r="AN4" s="471" t="s">
        <v>180</v>
      </c>
      <c r="AO4" s="479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</row>
    <row r="5" spans="1:52" ht="51" customHeight="1" x14ac:dyDescent="0.15">
      <c r="A5" s="212" t="s">
        <v>100</v>
      </c>
      <c r="B5" s="213" t="s">
        <v>181</v>
      </c>
      <c r="C5" s="214" t="s">
        <v>182</v>
      </c>
      <c r="D5" s="214" t="s">
        <v>181</v>
      </c>
      <c r="E5" s="214" t="s">
        <v>182</v>
      </c>
      <c r="F5" s="214" t="s">
        <v>181</v>
      </c>
      <c r="G5" s="214" t="s">
        <v>182</v>
      </c>
      <c r="H5" s="215" t="s">
        <v>183</v>
      </c>
      <c r="I5" s="215" t="s">
        <v>184</v>
      </c>
      <c r="J5" s="215" t="s">
        <v>183</v>
      </c>
      <c r="K5" s="215" t="s">
        <v>184</v>
      </c>
      <c r="L5" s="216" t="s">
        <v>185</v>
      </c>
      <c r="M5" s="217" t="s">
        <v>186</v>
      </c>
      <c r="N5" s="217" t="s">
        <v>185</v>
      </c>
      <c r="O5" s="217" t="s">
        <v>186</v>
      </c>
      <c r="P5" s="217" t="s">
        <v>185</v>
      </c>
      <c r="Q5" s="217" t="s">
        <v>186</v>
      </c>
      <c r="R5" s="218" t="s">
        <v>187</v>
      </c>
      <c r="S5" s="219" t="s">
        <v>188</v>
      </c>
      <c r="T5" s="218" t="s">
        <v>187</v>
      </c>
      <c r="U5" s="219" t="s">
        <v>188</v>
      </c>
      <c r="V5" s="220" t="s">
        <v>189</v>
      </c>
      <c r="W5" s="221" t="s">
        <v>190</v>
      </c>
      <c r="X5" s="221" t="s">
        <v>189</v>
      </c>
      <c r="Y5" s="221" t="s">
        <v>190</v>
      </c>
      <c r="Z5" s="221" t="s">
        <v>189</v>
      </c>
      <c r="AA5" s="221" t="s">
        <v>190</v>
      </c>
      <c r="AB5" s="222" t="s">
        <v>191</v>
      </c>
      <c r="AC5" s="222" t="s">
        <v>192</v>
      </c>
      <c r="AD5" s="222" t="s">
        <v>191</v>
      </c>
      <c r="AE5" s="223" t="s">
        <v>192</v>
      </c>
      <c r="AF5" s="224" t="s">
        <v>193</v>
      </c>
      <c r="AG5" s="224" t="s">
        <v>194</v>
      </c>
      <c r="AH5" s="224" t="s">
        <v>193</v>
      </c>
      <c r="AI5" s="224" t="s">
        <v>194</v>
      </c>
      <c r="AJ5" s="224" t="s">
        <v>193</v>
      </c>
      <c r="AK5" s="224" t="s">
        <v>194</v>
      </c>
      <c r="AL5" s="225" t="s">
        <v>195</v>
      </c>
      <c r="AM5" s="225" t="s">
        <v>196</v>
      </c>
      <c r="AN5" s="225" t="s">
        <v>195</v>
      </c>
      <c r="AO5" s="226" t="s">
        <v>196</v>
      </c>
      <c r="AP5" s="227"/>
      <c r="AQ5" s="228"/>
      <c r="AR5" s="228"/>
      <c r="AS5" s="228"/>
      <c r="AT5" s="228"/>
      <c r="AU5" s="228"/>
      <c r="AV5" s="228"/>
      <c r="AW5" s="228"/>
      <c r="AX5" s="228"/>
      <c r="AY5" s="228"/>
      <c r="AZ5" s="228"/>
    </row>
    <row r="6" spans="1:52" ht="15.75" customHeight="1" x14ac:dyDescent="0.2">
      <c r="A6" s="229">
        <v>1</v>
      </c>
      <c r="B6" s="230">
        <v>1</v>
      </c>
      <c r="C6" s="211">
        <v>0</v>
      </c>
      <c r="D6" s="231">
        <v>4</v>
      </c>
      <c r="E6" s="231">
        <v>0</v>
      </c>
      <c r="F6" s="211">
        <v>20</v>
      </c>
      <c r="G6" s="211">
        <v>0</v>
      </c>
      <c r="H6" s="231">
        <v>1</v>
      </c>
      <c r="I6" s="231">
        <v>0</v>
      </c>
      <c r="J6" s="211">
        <v>5</v>
      </c>
      <c r="K6" s="211">
        <v>0</v>
      </c>
      <c r="L6" s="143">
        <v>1</v>
      </c>
      <c r="M6" s="69">
        <v>0</v>
      </c>
      <c r="N6" s="173">
        <v>5</v>
      </c>
      <c r="O6" s="173">
        <v>0</v>
      </c>
      <c r="P6" s="69">
        <v>25</v>
      </c>
      <c r="Q6" s="69">
        <v>0</v>
      </c>
      <c r="R6" s="173">
        <v>1</v>
      </c>
      <c r="S6" s="173">
        <v>0</v>
      </c>
      <c r="T6" s="69">
        <v>5</v>
      </c>
      <c r="U6" s="146">
        <v>0</v>
      </c>
      <c r="V6" s="230">
        <v>1</v>
      </c>
      <c r="W6" s="211">
        <v>0</v>
      </c>
      <c r="X6" s="231">
        <v>5</v>
      </c>
      <c r="Y6" s="231">
        <v>0</v>
      </c>
      <c r="Z6" s="211">
        <v>25</v>
      </c>
      <c r="AA6" s="211">
        <v>0</v>
      </c>
      <c r="AB6" s="231">
        <v>1</v>
      </c>
      <c r="AC6" s="231">
        <v>0</v>
      </c>
      <c r="AD6" s="211">
        <v>5</v>
      </c>
      <c r="AE6" s="232">
        <v>0</v>
      </c>
      <c r="AF6" s="211">
        <v>1</v>
      </c>
      <c r="AG6" s="211">
        <v>0</v>
      </c>
      <c r="AH6" s="231">
        <v>5</v>
      </c>
      <c r="AI6" s="231">
        <v>0</v>
      </c>
      <c r="AJ6" s="211">
        <v>25</v>
      </c>
      <c r="AK6" s="211">
        <v>0</v>
      </c>
      <c r="AL6" s="231">
        <v>1</v>
      </c>
      <c r="AM6" s="231">
        <v>0</v>
      </c>
      <c r="AN6" s="211">
        <v>5</v>
      </c>
      <c r="AO6" s="232">
        <v>0</v>
      </c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</row>
    <row r="7" spans="1:52" ht="15.75" customHeight="1" x14ac:dyDescent="0.2">
      <c r="A7" s="229">
        <v>2</v>
      </c>
      <c r="B7" s="230">
        <v>2</v>
      </c>
      <c r="C7" s="211">
        <v>0</v>
      </c>
      <c r="D7" s="231">
        <v>8</v>
      </c>
      <c r="E7" s="231">
        <v>0</v>
      </c>
      <c r="F7" s="211">
        <v>40</v>
      </c>
      <c r="G7" s="211">
        <v>0</v>
      </c>
      <c r="H7" s="231">
        <v>2</v>
      </c>
      <c r="I7" s="231">
        <v>0</v>
      </c>
      <c r="J7" s="211">
        <v>10</v>
      </c>
      <c r="K7" s="211">
        <v>0</v>
      </c>
      <c r="L7" s="143">
        <v>2</v>
      </c>
      <c r="M7" s="69">
        <v>0</v>
      </c>
      <c r="N7" s="173">
        <v>10</v>
      </c>
      <c r="O7" s="173">
        <v>0</v>
      </c>
      <c r="P7" s="69">
        <v>50</v>
      </c>
      <c r="Q7" s="69">
        <v>0</v>
      </c>
      <c r="R7" s="173">
        <v>2</v>
      </c>
      <c r="S7" s="173">
        <v>0</v>
      </c>
      <c r="T7" s="69">
        <f t="shared" ref="T7:U7" si="5">R7*5</f>
        <v>10</v>
      </c>
      <c r="U7" s="69">
        <f t="shared" si="5"/>
        <v>0</v>
      </c>
      <c r="V7" s="230">
        <v>2</v>
      </c>
      <c r="W7" s="211">
        <v>0</v>
      </c>
      <c r="X7" s="231">
        <v>10</v>
      </c>
      <c r="Y7" s="231">
        <v>0</v>
      </c>
      <c r="Z7" s="211">
        <v>50</v>
      </c>
      <c r="AA7" s="211">
        <v>0</v>
      </c>
      <c r="AB7" s="231">
        <v>2</v>
      </c>
      <c r="AC7" s="231">
        <v>0</v>
      </c>
      <c r="AD7" s="211">
        <v>10</v>
      </c>
      <c r="AE7" s="232">
        <v>0</v>
      </c>
      <c r="AF7" s="211">
        <v>2</v>
      </c>
      <c r="AG7" s="211">
        <v>0</v>
      </c>
      <c r="AH7" s="231">
        <v>10</v>
      </c>
      <c r="AI7" s="231">
        <v>0</v>
      </c>
      <c r="AJ7" s="211">
        <v>50</v>
      </c>
      <c r="AK7" s="211">
        <v>0</v>
      </c>
      <c r="AL7" s="231">
        <v>2</v>
      </c>
      <c r="AM7" s="231">
        <v>0</v>
      </c>
      <c r="AN7" s="211">
        <v>10</v>
      </c>
      <c r="AO7" s="232">
        <v>0</v>
      </c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</row>
    <row r="8" spans="1:52" ht="15.75" customHeight="1" x14ac:dyDescent="0.2">
      <c r="A8" s="229">
        <v>3</v>
      </c>
      <c r="B8" s="230">
        <v>2</v>
      </c>
      <c r="C8" s="211">
        <v>0</v>
      </c>
      <c r="D8" s="231">
        <v>8</v>
      </c>
      <c r="E8" s="231">
        <v>0</v>
      </c>
      <c r="F8" s="211">
        <v>40</v>
      </c>
      <c r="G8" s="211">
        <v>0</v>
      </c>
      <c r="H8" s="231">
        <v>2</v>
      </c>
      <c r="I8" s="231">
        <v>0</v>
      </c>
      <c r="J8" s="211">
        <v>10</v>
      </c>
      <c r="K8" s="211">
        <v>0</v>
      </c>
      <c r="L8" s="143">
        <v>2</v>
      </c>
      <c r="M8" s="69">
        <v>0</v>
      </c>
      <c r="N8" s="173">
        <v>10</v>
      </c>
      <c r="O8" s="173">
        <v>0</v>
      </c>
      <c r="P8" s="69">
        <v>50</v>
      </c>
      <c r="Q8" s="69">
        <v>0</v>
      </c>
      <c r="R8" s="173">
        <v>2</v>
      </c>
      <c r="S8" s="173">
        <v>0</v>
      </c>
      <c r="T8" s="69">
        <f t="shared" ref="T8:U8" si="6">R8*5</f>
        <v>10</v>
      </c>
      <c r="U8" s="69">
        <f t="shared" si="6"/>
        <v>0</v>
      </c>
      <c r="V8" s="230">
        <v>2</v>
      </c>
      <c r="W8" s="211">
        <v>0</v>
      </c>
      <c r="X8" s="231">
        <v>10</v>
      </c>
      <c r="Y8" s="231">
        <v>0</v>
      </c>
      <c r="Z8" s="211">
        <v>50</v>
      </c>
      <c r="AA8" s="211">
        <v>0</v>
      </c>
      <c r="AB8" s="231">
        <v>2</v>
      </c>
      <c r="AC8" s="231">
        <v>0</v>
      </c>
      <c r="AD8" s="211">
        <v>10</v>
      </c>
      <c r="AE8" s="232">
        <v>0</v>
      </c>
      <c r="AF8" s="211">
        <v>2</v>
      </c>
      <c r="AG8" s="211">
        <v>0</v>
      </c>
      <c r="AH8" s="231">
        <v>10</v>
      </c>
      <c r="AI8" s="231">
        <v>0</v>
      </c>
      <c r="AJ8" s="211">
        <v>50</v>
      </c>
      <c r="AK8" s="211">
        <v>0</v>
      </c>
      <c r="AL8" s="231">
        <v>2</v>
      </c>
      <c r="AM8" s="231">
        <v>0</v>
      </c>
      <c r="AN8" s="211">
        <v>10</v>
      </c>
      <c r="AO8" s="232">
        <v>0</v>
      </c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</row>
    <row r="9" spans="1:52" ht="15.75" customHeight="1" x14ac:dyDescent="0.2">
      <c r="A9" s="229">
        <v>4</v>
      </c>
      <c r="B9" s="230">
        <v>2</v>
      </c>
      <c r="C9" s="211">
        <v>0</v>
      </c>
      <c r="D9" s="231">
        <v>8</v>
      </c>
      <c r="E9" s="231">
        <v>0</v>
      </c>
      <c r="F9" s="211">
        <v>40</v>
      </c>
      <c r="G9" s="211">
        <v>0</v>
      </c>
      <c r="H9" s="231">
        <v>2</v>
      </c>
      <c r="I9" s="231">
        <v>0</v>
      </c>
      <c r="J9" s="211">
        <v>10</v>
      </c>
      <c r="K9" s="211">
        <v>0</v>
      </c>
      <c r="L9" s="143">
        <v>2</v>
      </c>
      <c r="M9" s="69">
        <v>0</v>
      </c>
      <c r="N9" s="173">
        <v>12</v>
      </c>
      <c r="O9" s="173">
        <v>0</v>
      </c>
      <c r="P9" s="69">
        <v>60</v>
      </c>
      <c r="Q9" s="69">
        <v>0</v>
      </c>
      <c r="R9" s="173">
        <v>2</v>
      </c>
      <c r="S9" s="173">
        <v>0</v>
      </c>
      <c r="T9" s="69">
        <f t="shared" ref="T9:U9" si="7">R9*5</f>
        <v>10</v>
      </c>
      <c r="U9" s="69">
        <f t="shared" si="7"/>
        <v>0</v>
      </c>
      <c r="V9" s="230">
        <v>2</v>
      </c>
      <c r="W9" s="211">
        <v>0</v>
      </c>
      <c r="X9" s="231">
        <v>10</v>
      </c>
      <c r="Y9" s="231">
        <v>0</v>
      </c>
      <c r="Z9" s="211">
        <v>50</v>
      </c>
      <c r="AA9" s="211">
        <v>0</v>
      </c>
      <c r="AB9" s="231">
        <v>2</v>
      </c>
      <c r="AC9" s="231">
        <v>0</v>
      </c>
      <c r="AD9" s="211">
        <v>10</v>
      </c>
      <c r="AE9" s="232">
        <v>0</v>
      </c>
      <c r="AF9" s="211">
        <v>2</v>
      </c>
      <c r="AG9" s="211">
        <v>0</v>
      </c>
      <c r="AH9" s="231">
        <v>10</v>
      </c>
      <c r="AI9" s="231">
        <v>0</v>
      </c>
      <c r="AJ9" s="211">
        <v>50</v>
      </c>
      <c r="AK9" s="211">
        <v>0</v>
      </c>
      <c r="AL9" s="231">
        <v>2</v>
      </c>
      <c r="AM9" s="231">
        <v>0</v>
      </c>
      <c r="AN9" s="211">
        <v>10</v>
      </c>
      <c r="AO9" s="232">
        <v>0</v>
      </c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</row>
    <row r="10" spans="1:52" ht="15.75" customHeight="1" x14ac:dyDescent="0.2">
      <c r="A10" s="229">
        <v>5</v>
      </c>
      <c r="B10" s="230">
        <v>2</v>
      </c>
      <c r="C10" s="211">
        <v>0</v>
      </c>
      <c r="D10" s="231">
        <v>8</v>
      </c>
      <c r="E10" s="231">
        <v>0</v>
      </c>
      <c r="F10" s="211">
        <v>40</v>
      </c>
      <c r="G10" s="211">
        <v>0</v>
      </c>
      <c r="H10" s="231">
        <v>2</v>
      </c>
      <c r="I10" s="231">
        <v>0</v>
      </c>
      <c r="J10" s="211">
        <v>10</v>
      </c>
      <c r="K10" s="211">
        <v>0</v>
      </c>
      <c r="L10" s="143">
        <v>3</v>
      </c>
      <c r="M10" s="69">
        <v>0</v>
      </c>
      <c r="N10" s="173">
        <v>12</v>
      </c>
      <c r="O10" s="173">
        <v>0</v>
      </c>
      <c r="P10" s="69">
        <v>60</v>
      </c>
      <c r="Q10" s="69">
        <v>0</v>
      </c>
      <c r="R10" s="173">
        <v>3</v>
      </c>
      <c r="S10" s="173">
        <v>0</v>
      </c>
      <c r="T10" s="69">
        <f t="shared" ref="T10:U10" si="8">R10*5</f>
        <v>15</v>
      </c>
      <c r="U10" s="69">
        <f t="shared" si="8"/>
        <v>0</v>
      </c>
      <c r="V10" s="230">
        <v>3</v>
      </c>
      <c r="W10" s="211">
        <v>0</v>
      </c>
      <c r="X10" s="231">
        <v>15</v>
      </c>
      <c r="Y10" s="231">
        <v>0</v>
      </c>
      <c r="Z10" s="211">
        <v>75</v>
      </c>
      <c r="AA10" s="211">
        <v>0</v>
      </c>
      <c r="AB10" s="231">
        <v>3</v>
      </c>
      <c r="AC10" s="231">
        <v>0</v>
      </c>
      <c r="AD10" s="211">
        <v>15</v>
      </c>
      <c r="AE10" s="232">
        <v>0</v>
      </c>
      <c r="AF10" s="211">
        <v>3</v>
      </c>
      <c r="AG10" s="211">
        <v>0</v>
      </c>
      <c r="AH10" s="231">
        <v>15</v>
      </c>
      <c r="AI10" s="231">
        <v>0</v>
      </c>
      <c r="AJ10" s="211">
        <v>75</v>
      </c>
      <c r="AK10" s="211">
        <v>0</v>
      </c>
      <c r="AL10" s="231">
        <v>3</v>
      </c>
      <c r="AM10" s="231">
        <v>0</v>
      </c>
      <c r="AN10" s="211">
        <v>15</v>
      </c>
      <c r="AO10" s="232">
        <v>0</v>
      </c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</row>
    <row r="11" spans="1:52" ht="15.75" customHeight="1" x14ac:dyDescent="0.2">
      <c r="A11" s="229">
        <v>6</v>
      </c>
      <c r="B11" s="230">
        <v>3</v>
      </c>
      <c r="C11" s="211">
        <v>0</v>
      </c>
      <c r="D11" s="231">
        <v>12</v>
      </c>
      <c r="E11" s="231">
        <v>0</v>
      </c>
      <c r="F11" s="211">
        <v>60</v>
      </c>
      <c r="G11" s="211">
        <v>0</v>
      </c>
      <c r="H11" s="231">
        <v>2</v>
      </c>
      <c r="I11" s="231">
        <v>0</v>
      </c>
      <c r="J11" s="211">
        <v>10</v>
      </c>
      <c r="K11" s="211">
        <v>0</v>
      </c>
      <c r="L11" s="143">
        <v>4</v>
      </c>
      <c r="M11" s="69">
        <v>0</v>
      </c>
      <c r="N11" s="173">
        <v>16</v>
      </c>
      <c r="O11" s="173">
        <v>0</v>
      </c>
      <c r="P11" s="69">
        <v>80</v>
      </c>
      <c r="Q11" s="69">
        <v>0</v>
      </c>
      <c r="R11" s="173">
        <v>3</v>
      </c>
      <c r="S11" s="173">
        <v>0</v>
      </c>
      <c r="T11" s="69">
        <f t="shared" ref="T11:U11" si="9">R11*5</f>
        <v>15</v>
      </c>
      <c r="U11" s="69">
        <f t="shared" si="9"/>
        <v>0</v>
      </c>
      <c r="V11" s="230">
        <v>4</v>
      </c>
      <c r="W11" s="211">
        <v>0</v>
      </c>
      <c r="X11" s="231">
        <v>20</v>
      </c>
      <c r="Y11" s="231">
        <v>0</v>
      </c>
      <c r="Z11" s="211">
        <v>100</v>
      </c>
      <c r="AA11" s="211">
        <v>0</v>
      </c>
      <c r="AB11" s="231">
        <v>4</v>
      </c>
      <c r="AC11" s="231">
        <v>0</v>
      </c>
      <c r="AD11" s="211">
        <v>20</v>
      </c>
      <c r="AE11" s="232">
        <v>0</v>
      </c>
      <c r="AF11" s="211">
        <v>4</v>
      </c>
      <c r="AG11" s="211">
        <v>0</v>
      </c>
      <c r="AH11" s="231">
        <v>20</v>
      </c>
      <c r="AI11" s="231">
        <v>0</v>
      </c>
      <c r="AJ11" s="211">
        <v>100</v>
      </c>
      <c r="AK11" s="211">
        <v>0</v>
      </c>
      <c r="AL11" s="231">
        <v>4</v>
      </c>
      <c r="AM11" s="231">
        <v>0</v>
      </c>
      <c r="AN11" s="211">
        <v>20</v>
      </c>
      <c r="AO11" s="232">
        <v>0</v>
      </c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</row>
    <row r="12" spans="1:52" ht="15.75" customHeight="1" x14ac:dyDescent="0.2">
      <c r="A12" s="229">
        <v>7</v>
      </c>
      <c r="B12" s="230">
        <v>4</v>
      </c>
      <c r="C12" s="211">
        <v>0</v>
      </c>
      <c r="D12" s="231">
        <v>16</v>
      </c>
      <c r="E12" s="231">
        <v>0</v>
      </c>
      <c r="F12" s="211">
        <v>80</v>
      </c>
      <c r="G12" s="211">
        <v>0</v>
      </c>
      <c r="H12" s="231">
        <v>3</v>
      </c>
      <c r="I12" s="231">
        <v>0</v>
      </c>
      <c r="J12" s="211">
        <v>15</v>
      </c>
      <c r="K12" s="211">
        <v>0</v>
      </c>
      <c r="L12" s="143">
        <v>5</v>
      </c>
      <c r="M12" s="69">
        <v>0</v>
      </c>
      <c r="N12" s="173">
        <v>16</v>
      </c>
      <c r="O12" s="173">
        <v>0</v>
      </c>
      <c r="P12" s="69">
        <v>80</v>
      </c>
      <c r="Q12" s="69">
        <v>0</v>
      </c>
      <c r="R12" s="173">
        <v>3</v>
      </c>
      <c r="S12" s="173">
        <v>0</v>
      </c>
      <c r="T12" s="69">
        <f t="shared" ref="T12:U12" si="10">R12*5</f>
        <v>15</v>
      </c>
      <c r="U12" s="69">
        <f t="shared" si="10"/>
        <v>0</v>
      </c>
      <c r="V12" s="230">
        <v>5</v>
      </c>
      <c r="W12" s="211">
        <v>0</v>
      </c>
      <c r="X12" s="231">
        <v>25</v>
      </c>
      <c r="Y12" s="231">
        <v>0</v>
      </c>
      <c r="Z12" s="211">
        <v>125</v>
      </c>
      <c r="AA12" s="211">
        <v>0</v>
      </c>
      <c r="AB12" s="231">
        <v>5</v>
      </c>
      <c r="AC12" s="231">
        <v>0</v>
      </c>
      <c r="AD12" s="211">
        <v>25</v>
      </c>
      <c r="AE12" s="232">
        <v>0</v>
      </c>
      <c r="AF12" s="211">
        <v>5</v>
      </c>
      <c r="AG12" s="211">
        <v>0</v>
      </c>
      <c r="AH12" s="231">
        <v>25</v>
      </c>
      <c r="AI12" s="231">
        <v>0</v>
      </c>
      <c r="AJ12" s="211">
        <v>125</v>
      </c>
      <c r="AK12" s="211">
        <v>0</v>
      </c>
      <c r="AL12" s="231">
        <v>5</v>
      </c>
      <c r="AM12" s="231">
        <v>0</v>
      </c>
      <c r="AN12" s="211">
        <v>25</v>
      </c>
      <c r="AO12" s="232">
        <v>0</v>
      </c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</row>
    <row r="13" spans="1:52" ht="15.75" customHeight="1" x14ac:dyDescent="0.2">
      <c r="A13" s="229">
        <v>8</v>
      </c>
      <c r="B13" s="230">
        <v>4</v>
      </c>
      <c r="C13" s="211">
        <v>0</v>
      </c>
      <c r="D13" s="231">
        <v>16</v>
      </c>
      <c r="E13" s="231">
        <v>0</v>
      </c>
      <c r="F13" s="211">
        <v>80</v>
      </c>
      <c r="G13" s="211">
        <v>0</v>
      </c>
      <c r="H13" s="231">
        <v>3</v>
      </c>
      <c r="I13" s="231">
        <v>0</v>
      </c>
      <c r="J13" s="211">
        <v>15</v>
      </c>
      <c r="K13" s="211">
        <v>0</v>
      </c>
      <c r="L13" s="143">
        <v>5</v>
      </c>
      <c r="M13" s="69">
        <v>0</v>
      </c>
      <c r="N13" s="173">
        <v>20</v>
      </c>
      <c r="O13" s="173">
        <v>0</v>
      </c>
      <c r="P13" s="69">
        <v>100</v>
      </c>
      <c r="Q13" s="69">
        <v>0</v>
      </c>
      <c r="R13" s="173">
        <v>4</v>
      </c>
      <c r="S13" s="173">
        <v>0</v>
      </c>
      <c r="T13" s="69">
        <f t="shared" ref="T13:U13" si="11">R13*5</f>
        <v>20</v>
      </c>
      <c r="U13" s="69">
        <f t="shared" si="11"/>
        <v>0</v>
      </c>
      <c r="V13" s="230">
        <v>5</v>
      </c>
      <c r="W13" s="211">
        <v>0</v>
      </c>
      <c r="X13" s="231">
        <v>25</v>
      </c>
      <c r="Y13" s="231">
        <v>0</v>
      </c>
      <c r="Z13" s="211">
        <v>125</v>
      </c>
      <c r="AA13" s="211">
        <v>0</v>
      </c>
      <c r="AB13" s="231">
        <v>5</v>
      </c>
      <c r="AC13" s="231">
        <v>0</v>
      </c>
      <c r="AD13" s="211">
        <v>25</v>
      </c>
      <c r="AE13" s="232">
        <v>0</v>
      </c>
      <c r="AF13" s="211">
        <v>5</v>
      </c>
      <c r="AG13" s="211">
        <v>0</v>
      </c>
      <c r="AH13" s="231">
        <v>25</v>
      </c>
      <c r="AI13" s="231">
        <v>0</v>
      </c>
      <c r="AJ13" s="211">
        <v>125</v>
      </c>
      <c r="AK13" s="211">
        <v>0</v>
      </c>
      <c r="AL13" s="231">
        <v>5</v>
      </c>
      <c r="AM13" s="231">
        <v>0</v>
      </c>
      <c r="AN13" s="211">
        <v>25</v>
      </c>
      <c r="AO13" s="232">
        <v>0</v>
      </c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</row>
    <row r="14" spans="1:52" ht="15.75" customHeight="1" x14ac:dyDescent="0.2">
      <c r="A14" s="229">
        <v>9</v>
      </c>
      <c r="B14" s="230">
        <v>4</v>
      </c>
      <c r="C14" s="211">
        <v>0</v>
      </c>
      <c r="D14" s="231">
        <v>16</v>
      </c>
      <c r="E14" s="231">
        <v>0</v>
      </c>
      <c r="F14" s="211">
        <v>80</v>
      </c>
      <c r="G14" s="211">
        <v>0</v>
      </c>
      <c r="H14" s="231">
        <v>3</v>
      </c>
      <c r="I14" s="231">
        <v>0</v>
      </c>
      <c r="J14" s="211">
        <v>15</v>
      </c>
      <c r="K14" s="211">
        <v>0</v>
      </c>
      <c r="L14" s="143">
        <v>5</v>
      </c>
      <c r="M14" s="69">
        <v>0</v>
      </c>
      <c r="N14" s="173">
        <v>20</v>
      </c>
      <c r="O14" s="173">
        <v>0</v>
      </c>
      <c r="P14" s="69">
        <v>100</v>
      </c>
      <c r="Q14" s="69">
        <v>0</v>
      </c>
      <c r="R14" s="173">
        <v>4</v>
      </c>
      <c r="S14" s="173">
        <v>0</v>
      </c>
      <c r="T14" s="69">
        <f t="shared" ref="T14:U14" si="12">R14*5</f>
        <v>20</v>
      </c>
      <c r="U14" s="69">
        <f t="shared" si="12"/>
        <v>0</v>
      </c>
      <c r="V14" s="230">
        <v>5</v>
      </c>
      <c r="W14" s="211">
        <v>0</v>
      </c>
      <c r="X14" s="231">
        <v>25</v>
      </c>
      <c r="Y14" s="231">
        <v>0</v>
      </c>
      <c r="Z14" s="211">
        <v>125</v>
      </c>
      <c r="AA14" s="211">
        <v>0</v>
      </c>
      <c r="AB14" s="231">
        <v>5</v>
      </c>
      <c r="AC14" s="231">
        <v>0</v>
      </c>
      <c r="AD14" s="211">
        <v>25</v>
      </c>
      <c r="AE14" s="232">
        <v>0</v>
      </c>
      <c r="AF14" s="211">
        <v>5</v>
      </c>
      <c r="AG14" s="211">
        <v>0</v>
      </c>
      <c r="AH14" s="231">
        <v>25</v>
      </c>
      <c r="AI14" s="231">
        <v>0</v>
      </c>
      <c r="AJ14" s="211">
        <v>125</v>
      </c>
      <c r="AK14" s="211">
        <v>0</v>
      </c>
      <c r="AL14" s="231">
        <v>5</v>
      </c>
      <c r="AM14" s="231">
        <v>0</v>
      </c>
      <c r="AN14" s="211">
        <v>25</v>
      </c>
      <c r="AO14" s="232">
        <v>0</v>
      </c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</row>
    <row r="15" spans="1:52" ht="15.75" customHeight="1" x14ac:dyDescent="0.2">
      <c r="A15" s="229">
        <v>10</v>
      </c>
      <c r="B15" s="230">
        <v>4</v>
      </c>
      <c r="C15" s="211">
        <v>0</v>
      </c>
      <c r="D15" s="231">
        <v>16</v>
      </c>
      <c r="E15" s="231">
        <v>0</v>
      </c>
      <c r="F15" s="211">
        <v>80</v>
      </c>
      <c r="G15" s="211">
        <v>0</v>
      </c>
      <c r="H15" s="231">
        <v>3</v>
      </c>
      <c r="I15" s="231">
        <v>0</v>
      </c>
      <c r="J15" s="211">
        <v>15</v>
      </c>
      <c r="K15" s="211">
        <v>0</v>
      </c>
      <c r="L15" s="143">
        <v>5</v>
      </c>
      <c r="M15" s="69">
        <v>0</v>
      </c>
      <c r="N15" s="173">
        <v>24</v>
      </c>
      <c r="O15" s="173">
        <v>0</v>
      </c>
      <c r="P15" s="69">
        <v>120</v>
      </c>
      <c r="Q15" s="69">
        <v>0</v>
      </c>
      <c r="R15" s="173">
        <v>4</v>
      </c>
      <c r="S15" s="173">
        <v>0</v>
      </c>
      <c r="T15" s="69">
        <f t="shared" ref="T15:U15" si="13">R15*5</f>
        <v>20</v>
      </c>
      <c r="U15" s="69">
        <f t="shared" si="13"/>
        <v>0</v>
      </c>
      <c r="V15" s="230">
        <v>5</v>
      </c>
      <c r="W15" s="211">
        <v>0</v>
      </c>
      <c r="X15" s="231">
        <v>25</v>
      </c>
      <c r="Y15" s="231">
        <v>0</v>
      </c>
      <c r="Z15" s="211">
        <v>125</v>
      </c>
      <c r="AA15" s="211">
        <v>0</v>
      </c>
      <c r="AB15" s="231">
        <v>5</v>
      </c>
      <c r="AC15" s="231">
        <v>0</v>
      </c>
      <c r="AD15" s="211">
        <v>25</v>
      </c>
      <c r="AE15" s="232">
        <v>0</v>
      </c>
      <c r="AF15" s="211">
        <v>5</v>
      </c>
      <c r="AG15" s="211">
        <v>0</v>
      </c>
      <c r="AH15" s="231">
        <v>25</v>
      </c>
      <c r="AI15" s="231">
        <v>0</v>
      </c>
      <c r="AJ15" s="211">
        <v>125</v>
      </c>
      <c r="AK15" s="211">
        <v>0</v>
      </c>
      <c r="AL15" s="231">
        <v>5</v>
      </c>
      <c r="AM15" s="231">
        <v>0</v>
      </c>
      <c r="AN15" s="211">
        <v>25</v>
      </c>
      <c r="AO15" s="232">
        <v>0</v>
      </c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</row>
    <row r="16" spans="1:52" ht="15.75" customHeight="1" x14ac:dyDescent="0.2">
      <c r="A16" s="229">
        <v>11</v>
      </c>
      <c r="B16" s="230">
        <v>5</v>
      </c>
      <c r="C16" s="211">
        <v>0</v>
      </c>
      <c r="D16" s="231">
        <v>20</v>
      </c>
      <c r="E16" s="231">
        <v>0</v>
      </c>
      <c r="F16" s="211">
        <v>100</v>
      </c>
      <c r="G16" s="211">
        <v>0</v>
      </c>
      <c r="H16" s="231">
        <v>4</v>
      </c>
      <c r="I16" s="231">
        <v>0</v>
      </c>
      <c r="J16" s="211">
        <v>20</v>
      </c>
      <c r="K16" s="211">
        <v>0</v>
      </c>
      <c r="L16" s="143">
        <v>6</v>
      </c>
      <c r="M16" s="69">
        <v>0</v>
      </c>
      <c r="N16" s="173">
        <v>24</v>
      </c>
      <c r="O16" s="173">
        <v>0</v>
      </c>
      <c r="P16" s="69">
        <v>120</v>
      </c>
      <c r="Q16" s="69">
        <v>0</v>
      </c>
      <c r="R16" s="173">
        <v>5</v>
      </c>
      <c r="S16" s="173">
        <v>0</v>
      </c>
      <c r="T16" s="69">
        <f t="shared" ref="T16:U16" si="14">R16*5</f>
        <v>25</v>
      </c>
      <c r="U16" s="69">
        <f t="shared" si="14"/>
        <v>0</v>
      </c>
      <c r="V16" s="230">
        <v>6</v>
      </c>
      <c r="W16" s="211">
        <v>0</v>
      </c>
      <c r="X16" s="231">
        <v>30</v>
      </c>
      <c r="Y16" s="231">
        <v>0</v>
      </c>
      <c r="Z16" s="211">
        <v>150</v>
      </c>
      <c r="AA16" s="211">
        <v>0</v>
      </c>
      <c r="AB16" s="231">
        <v>6</v>
      </c>
      <c r="AC16" s="231">
        <v>0</v>
      </c>
      <c r="AD16" s="211">
        <v>30</v>
      </c>
      <c r="AE16" s="232">
        <v>0</v>
      </c>
      <c r="AF16" s="211">
        <v>6</v>
      </c>
      <c r="AG16" s="211">
        <v>0</v>
      </c>
      <c r="AH16" s="231">
        <v>30</v>
      </c>
      <c r="AI16" s="231">
        <v>0</v>
      </c>
      <c r="AJ16" s="211">
        <v>150</v>
      </c>
      <c r="AK16" s="211">
        <v>0</v>
      </c>
      <c r="AL16" s="231">
        <v>6</v>
      </c>
      <c r="AM16" s="231">
        <v>0</v>
      </c>
      <c r="AN16" s="211">
        <v>30</v>
      </c>
      <c r="AO16" s="232">
        <v>0</v>
      </c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</row>
    <row r="17" spans="1:52" ht="15.75" customHeight="1" x14ac:dyDescent="0.2">
      <c r="A17" s="229">
        <v>12</v>
      </c>
      <c r="B17" s="230">
        <v>5</v>
      </c>
      <c r="C17" s="211">
        <v>0</v>
      </c>
      <c r="D17" s="231">
        <v>20</v>
      </c>
      <c r="E17" s="231">
        <v>0</v>
      </c>
      <c r="F17" s="211">
        <v>100</v>
      </c>
      <c r="G17" s="211">
        <v>0</v>
      </c>
      <c r="H17" s="231">
        <v>4</v>
      </c>
      <c r="I17" s="231">
        <v>0</v>
      </c>
      <c r="J17" s="211">
        <v>20</v>
      </c>
      <c r="K17" s="211">
        <v>0</v>
      </c>
      <c r="L17" s="143">
        <v>6</v>
      </c>
      <c r="M17" s="69">
        <v>0</v>
      </c>
      <c r="N17" s="173">
        <v>28</v>
      </c>
      <c r="O17" s="173">
        <v>0</v>
      </c>
      <c r="P17" s="69">
        <v>140</v>
      </c>
      <c r="Q17" s="69">
        <v>0</v>
      </c>
      <c r="R17" s="173">
        <v>5</v>
      </c>
      <c r="S17" s="173">
        <v>0</v>
      </c>
      <c r="T17" s="69">
        <f t="shared" ref="T17:U17" si="15">R17*5</f>
        <v>25</v>
      </c>
      <c r="U17" s="69">
        <f t="shared" si="15"/>
        <v>0</v>
      </c>
      <c r="V17" s="230">
        <v>6</v>
      </c>
      <c r="W17" s="211">
        <v>0</v>
      </c>
      <c r="X17" s="231">
        <v>30</v>
      </c>
      <c r="Y17" s="231">
        <v>0</v>
      </c>
      <c r="Z17" s="211">
        <v>150</v>
      </c>
      <c r="AA17" s="211">
        <v>0</v>
      </c>
      <c r="AB17" s="231">
        <v>6</v>
      </c>
      <c r="AC17" s="231">
        <v>0</v>
      </c>
      <c r="AD17" s="211">
        <v>30</v>
      </c>
      <c r="AE17" s="232">
        <v>0</v>
      </c>
      <c r="AF17" s="211">
        <v>6</v>
      </c>
      <c r="AG17" s="211">
        <v>0</v>
      </c>
      <c r="AH17" s="231">
        <v>30</v>
      </c>
      <c r="AI17" s="231">
        <v>0</v>
      </c>
      <c r="AJ17" s="211">
        <v>150</v>
      </c>
      <c r="AK17" s="211">
        <v>0</v>
      </c>
      <c r="AL17" s="231">
        <v>6</v>
      </c>
      <c r="AM17" s="231">
        <v>0</v>
      </c>
      <c r="AN17" s="211">
        <v>30</v>
      </c>
      <c r="AO17" s="232">
        <v>0</v>
      </c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</row>
    <row r="18" spans="1:52" ht="15.75" customHeight="1" x14ac:dyDescent="0.2">
      <c r="A18" s="229">
        <v>13</v>
      </c>
      <c r="B18" s="230">
        <v>5</v>
      </c>
      <c r="C18" s="211">
        <v>0</v>
      </c>
      <c r="D18" s="231">
        <v>20</v>
      </c>
      <c r="E18" s="231">
        <v>0</v>
      </c>
      <c r="F18" s="211">
        <v>100</v>
      </c>
      <c r="G18" s="211">
        <v>0</v>
      </c>
      <c r="H18" s="231">
        <v>4</v>
      </c>
      <c r="I18" s="231">
        <v>0</v>
      </c>
      <c r="J18" s="211">
        <v>20</v>
      </c>
      <c r="K18" s="211">
        <v>0</v>
      </c>
      <c r="L18" s="143">
        <v>6</v>
      </c>
      <c r="M18" s="69">
        <v>0</v>
      </c>
      <c r="N18" s="173">
        <v>28</v>
      </c>
      <c r="O18" s="173">
        <v>0</v>
      </c>
      <c r="P18" s="69">
        <v>140</v>
      </c>
      <c r="Q18" s="69">
        <v>0</v>
      </c>
      <c r="R18" s="173">
        <v>5</v>
      </c>
      <c r="S18" s="173">
        <v>0</v>
      </c>
      <c r="T18" s="69">
        <f t="shared" ref="T18:U18" si="16">R18*5</f>
        <v>25</v>
      </c>
      <c r="U18" s="69">
        <f t="shared" si="16"/>
        <v>0</v>
      </c>
      <c r="V18" s="230">
        <v>6</v>
      </c>
      <c r="W18" s="211">
        <v>0</v>
      </c>
      <c r="X18" s="231">
        <v>30</v>
      </c>
      <c r="Y18" s="231">
        <v>0</v>
      </c>
      <c r="Z18" s="211">
        <v>150</v>
      </c>
      <c r="AA18" s="211">
        <v>0</v>
      </c>
      <c r="AB18" s="231">
        <v>6</v>
      </c>
      <c r="AC18" s="231">
        <v>0</v>
      </c>
      <c r="AD18" s="211">
        <v>30</v>
      </c>
      <c r="AE18" s="232">
        <v>0</v>
      </c>
      <c r="AF18" s="211">
        <v>6</v>
      </c>
      <c r="AG18" s="211">
        <v>0</v>
      </c>
      <c r="AH18" s="231">
        <v>30</v>
      </c>
      <c r="AI18" s="231">
        <v>0</v>
      </c>
      <c r="AJ18" s="211">
        <v>150</v>
      </c>
      <c r="AK18" s="211">
        <v>0</v>
      </c>
      <c r="AL18" s="231">
        <v>6</v>
      </c>
      <c r="AM18" s="231">
        <v>0</v>
      </c>
      <c r="AN18" s="211">
        <v>30</v>
      </c>
      <c r="AO18" s="232">
        <v>0</v>
      </c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</row>
    <row r="19" spans="1:52" ht="15.75" customHeight="1" x14ac:dyDescent="0.2">
      <c r="A19" s="229">
        <v>14</v>
      </c>
      <c r="B19" s="230">
        <v>6</v>
      </c>
      <c r="C19" s="211">
        <v>0</v>
      </c>
      <c r="D19" s="231">
        <v>24</v>
      </c>
      <c r="E19" s="231">
        <v>0</v>
      </c>
      <c r="F19" s="211">
        <v>120</v>
      </c>
      <c r="G19" s="211">
        <v>0</v>
      </c>
      <c r="H19" s="231">
        <v>5</v>
      </c>
      <c r="I19" s="231">
        <v>0</v>
      </c>
      <c r="J19" s="211">
        <v>25</v>
      </c>
      <c r="K19" s="211">
        <v>0</v>
      </c>
      <c r="L19" s="143">
        <v>8</v>
      </c>
      <c r="M19" s="69">
        <v>0</v>
      </c>
      <c r="N19" s="173">
        <v>32</v>
      </c>
      <c r="O19" s="173">
        <v>0</v>
      </c>
      <c r="P19" s="69">
        <v>160</v>
      </c>
      <c r="Q19" s="69">
        <v>0</v>
      </c>
      <c r="R19" s="173">
        <v>6</v>
      </c>
      <c r="S19" s="173">
        <v>0</v>
      </c>
      <c r="T19" s="69">
        <f t="shared" ref="T19:U19" si="17">R19*5</f>
        <v>30</v>
      </c>
      <c r="U19" s="69">
        <f t="shared" si="17"/>
        <v>0</v>
      </c>
      <c r="V19" s="230">
        <v>8</v>
      </c>
      <c r="W19" s="211">
        <v>0</v>
      </c>
      <c r="X19" s="231">
        <v>40</v>
      </c>
      <c r="Y19" s="231">
        <v>0</v>
      </c>
      <c r="Z19" s="211">
        <v>200</v>
      </c>
      <c r="AA19" s="211">
        <v>0</v>
      </c>
      <c r="AB19" s="231">
        <v>8</v>
      </c>
      <c r="AC19" s="231">
        <v>0</v>
      </c>
      <c r="AD19" s="211">
        <v>40</v>
      </c>
      <c r="AE19" s="232">
        <v>0</v>
      </c>
      <c r="AF19" s="211">
        <v>8</v>
      </c>
      <c r="AG19" s="211">
        <v>0</v>
      </c>
      <c r="AH19" s="231">
        <v>40</v>
      </c>
      <c r="AI19" s="231">
        <v>0</v>
      </c>
      <c r="AJ19" s="211">
        <v>200</v>
      </c>
      <c r="AK19" s="211">
        <v>0</v>
      </c>
      <c r="AL19" s="231">
        <v>8</v>
      </c>
      <c r="AM19" s="231">
        <v>0</v>
      </c>
      <c r="AN19" s="211">
        <v>40</v>
      </c>
      <c r="AO19" s="232">
        <v>0</v>
      </c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</row>
    <row r="20" spans="1:52" ht="15.75" customHeight="1" x14ac:dyDescent="0.2">
      <c r="A20" s="229">
        <v>15</v>
      </c>
      <c r="B20" s="230">
        <v>6</v>
      </c>
      <c r="C20" s="211">
        <v>0</v>
      </c>
      <c r="D20" s="231">
        <v>24</v>
      </c>
      <c r="E20" s="231">
        <v>0</v>
      </c>
      <c r="F20" s="211">
        <v>120</v>
      </c>
      <c r="G20" s="211">
        <v>0</v>
      </c>
      <c r="H20" s="231">
        <v>5</v>
      </c>
      <c r="I20" s="231">
        <v>0</v>
      </c>
      <c r="J20" s="211">
        <v>25</v>
      </c>
      <c r="K20" s="211">
        <v>0</v>
      </c>
      <c r="L20" s="143">
        <v>8</v>
      </c>
      <c r="M20" s="69">
        <v>0</v>
      </c>
      <c r="N20" s="173">
        <v>32</v>
      </c>
      <c r="O20" s="173">
        <v>0</v>
      </c>
      <c r="P20" s="69">
        <v>160</v>
      </c>
      <c r="Q20" s="69">
        <v>0</v>
      </c>
      <c r="R20" s="173">
        <v>6</v>
      </c>
      <c r="S20" s="173">
        <v>0</v>
      </c>
      <c r="T20" s="69">
        <f t="shared" ref="T20:U20" si="18">R20*5</f>
        <v>30</v>
      </c>
      <c r="U20" s="69">
        <f t="shared" si="18"/>
        <v>0</v>
      </c>
      <c r="V20" s="230">
        <v>8</v>
      </c>
      <c r="W20" s="211">
        <v>0</v>
      </c>
      <c r="X20" s="231">
        <v>40</v>
      </c>
      <c r="Y20" s="231">
        <v>0</v>
      </c>
      <c r="Z20" s="211">
        <v>200</v>
      </c>
      <c r="AA20" s="211">
        <v>0</v>
      </c>
      <c r="AB20" s="231">
        <v>8</v>
      </c>
      <c r="AC20" s="231">
        <v>0</v>
      </c>
      <c r="AD20" s="211">
        <v>40</v>
      </c>
      <c r="AE20" s="232">
        <v>0</v>
      </c>
      <c r="AF20" s="211">
        <v>8</v>
      </c>
      <c r="AG20" s="211">
        <v>0</v>
      </c>
      <c r="AH20" s="231">
        <v>40</v>
      </c>
      <c r="AI20" s="231">
        <v>0</v>
      </c>
      <c r="AJ20" s="211">
        <v>200</v>
      </c>
      <c r="AK20" s="211">
        <v>0</v>
      </c>
      <c r="AL20" s="231">
        <v>8</v>
      </c>
      <c r="AM20" s="231">
        <v>0</v>
      </c>
      <c r="AN20" s="211">
        <v>40</v>
      </c>
      <c r="AO20" s="232">
        <v>0</v>
      </c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</row>
    <row r="21" spans="1:52" ht="15.75" customHeight="1" x14ac:dyDescent="0.2">
      <c r="A21" s="229">
        <v>16</v>
      </c>
      <c r="B21" s="230">
        <v>7</v>
      </c>
      <c r="C21" s="211">
        <v>0</v>
      </c>
      <c r="D21" s="231">
        <v>28</v>
      </c>
      <c r="E21" s="231">
        <v>0</v>
      </c>
      <c r="F21" s="211">
        <v>140</v>
      </c>
      <c r="G21" s="211">
        <v>0</v>
      </c>
      <c r="H21" s="231">
        <v>6</v>
      </c>
      <c r="I21" s="231">
        <v>0</v>
      </c>
      <c r="J21" s="211">
        <v>30</v>
      </c>
      <c r="K21" s="211">
        <v>0</v>
      </c>
      <c r="L21" s="143">
        <v>9</v>
      </c>
      <c r="M21" s="69">
        <v>0</v>
      </c>
      <c r="N21" s="173">
        <v>36</v>
      </c>
      <c r="O21" s="173">
        <v>0</v>
      </c>
      <c r="P21" s="69">
        <v>180</v>
      </c>
      <c r="Q21" s="69">
        <v>0</v>
      </c>
      <c r="R21" s="173">
        <v>6</v>
      </c>
      <c r="S21" s="173">
        <v>0</v>
      </c>
      <c r="T21" s="69">
        <f t="shared" ref="T21:U21" si="19">R21*5</f>
        <v>30</v>
      </c>
      <c r="U21" s="69">
        <f t="shared" si="19"/>
        <v>0</v>
      </c>
      <c r="V21" s="230">
        <v>9</v>
      </c>
      <c r="W21" s="211">
        <v>0</v>
      </c>
      <c r="X21" s="231">
        <v>45</v>
      </c>
      <c r="Y21" s="231">
        <v>0</v>
      </c>
      <c r="Z21" s="211">
        <v>225</v>
      </c>
      <c r="AA21" s="211">
        <v>0</v>
      </c>
      <c r="AB21" s="231">
        <v>9</v>
      </c>
      <c r="AC21" s="231">
        <v>0</v>
      </c>
      <c r="AD21" s="211">
        <v>45</v>
      </c>
      <c r="AE21" s="232">
        <v>0</v>
      </c>
      <c r="AF21" s="211">
        <v>9</v>
      </c>
      <c r="AG21" s="211">
        <v>0</v>
      </c>
      <c r="AH21" s="231">
        <v>45</v>
      </c>
      <c r="AI21" s="231">
        <v>0</v>
      </c>
      <c r="AJ21" s="211">
        <v>225</v>
      </c>
      <c r="AK21" s="211">
        <v>0</v>
      </c>
      <c r="AL21" s="231">
        <v>9</v>
      </c>
      <c r="AM21" s="231">
        <v>0</v>
      </c>
      <c r="AN21" s="211">
        <v>45</v>
      </c>
      <c r="AO21" s="232">
        <v>0</v>
      </c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</row>
    <row r="22" spans="1:52" ht="15.75" customHeight="1" x14ac:dyDescent="0.2">
      <c r="A22" s="229">
        <v>17</v>
      </c>
      <c r="B22" s="230">
        <v>7</v>
      </c>
      <c r="C22" s="211">
        <v>0</v>
      </c>
      <c r="D22" s="231">
        <v>28</v>
      </c>
      <c r="E22" s="231">
        <v>0</v>
      </c>
      <c r="F22" s="211">
        <v>140</v>
      </c>
      <c r="G22" s="211">
        <v>0</v>
      </c>
      <c r="H22" s="231">
        <v>6</v>
      </c>
      <c r="I22" s="231">
        <v>0</v>
      </c>
      <c r="J22" s="211">
        <v>30</v>
      </c>
      <c r="K22" s="211">
        <v>0</v>
      </c>
      <c r="L22" s="143">
        <v>9</v>
      </c>
      <c r="M22" s="69">
        <v>0</v>
      </c>
      <c r="N22" s="173">
        <v>36</v>
      </c>
      <c r="O22" s="173">
        <v>0</v>
      </c>
      <c r="P22" s="69">
        <v>180</v>
      </c>
      <c r="Q22" s="69">
        <v>0</v>
      </c>
      <c r="R22" s="173">
        <v>8</v>
      </c>
      <c r="S22" s="173">
        <v>0</v>
      </c>
      <c r="T22" s="69">
        <f t="shared" ref="T22:U22" si="20">R22*5</f>
        <v>40</v>
      </c>
      <c r="U22" s="69">
        <f t="shared" si="20"/>
        <v>0</v>
      </c>
      <c r="V22" s="230">
        <v>9</v>
      </c>
      <c r="W22" s="211">
        <v>0</v>
      </c>
      <c r="X22" s="231">
        <v>45</v>
      </c>
      <c r="Y22" s="231">
        <v>0</v>
      </c>
      <c r="Z22" s="211">
        <v>225</v>
      </c>
      <c r="AA22" s="211">
        <v>0</v>
      </c>
      <c r="AB22" s="231">
        <v>9</v>
      </c>
      <c r="AC22" s="231">
        <v>0</v>
      </c>
      <c r="AD22" s="211">
        <v>45</v>
      </c>
      <c r="AE22" s="232">
        <v>0</v>
      </c>
      <c r="AF22" s="211">
        <v>9</v>
      </c>
      <c r="AG22" s="211">
        <v>0</v>
      </c>
      <c r="AH22" s="231">
        <v>45</v>
      </c>
      <c r="AI22" s="231">
        <v>0</v>
      </c>
      <c r="AJ22" s="211">
        <v>225</v>
      </c>
      <c r="AK22" s="211">
        <v>0</v>
      </c>
      <c r="AL22" s="231">
        <v>9</v>
      </c>
      <c r="AM22" s="231">
        <v>0</v>
      </c>
      <c r="AN22" s="211">
        <v>45</v>
      </c>
      <c r="AO22" s="232">
        <v>0</v>
      </c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</row>
    <row r="23" spans="1:52" ht="15.75" customHeight="1" x14ac:dyDescent="0.2">
      <c r="A23" s="229">
        <v>18</v>
      </c>
      <c r="B23" s="230">
        <v>7</v>
      </c>
      <c r="C23" s="211">
        <v>0</v>
      </c>
      <c r="D23" s="231">
        <v>28</v>
      </c>
      <c r="E23" s="231">
        <v>0</v>
      </c>
      <c r="F23" s="211">
        <v>140</v>
      </c>
      <c r="G23" s="211">
        <v>0</v>
      </c>
      <c r="H23" s="231">
        <v>6</v>
      </c>
      <c r="I23" s="231">
        <v>0</v>
      </c>
      <c r="J23" s="211">
        <v>30</v>
      </c>
      <c r="K23" s="211">
        <v>0</v>
      </c>
      <c r="L23" s="143">
        <v>9</v>
      </c>
      <c r="M23" s="69">
        <v>0</v>
      </c>
      <c r="N23" s="173">
        <v>40</v>
      </c>
      <c r="O23" s="173">
        <v>0</v>
      </c>
      <c r="P23" s="69">
        <v>200</v>
      </c>
      <c r="Q23" s="69">
        <v>0</v>
      </c>
      <c r="R23" s="173">
        <v>8</v>
      </c>
      <c r="S23" s="173">
        <v>0</v>
      </c>
      <c r="T23" s="69">
        <f t="shared" ref="T23:U23" si="21">R23*5</f>
        <v>40</v>
      </c>
      <c r="U23" s="69">
        <f t="shared" si="21"/>
        <v>0</v>
      </c>
      <c r="V23" s="230">
        <v>9</v>
      </c>
      <c r="W23" s="211">
        <v>0</v>
      </c>
      <c r="X23" s="231">
        <v>45</v>
      </c>
      <c r="Y23" s="231">
        <v>0</v>
      </c>
      <c r="Z23" s="211">
        <v>225</v>
      </c>
      <c r="AA23" s="211">
        <v>0</v>
      </c>
      <c r="AB23" s="231">
        <v>9</v>
      </c>
      <c r="AC23" s="231">
        <v>0</v>
      </c>
      <c r="AD23" s="211">
        <v>45</v>
      </c>
      <c r="AE23" s="232">
        <v>0</v>
      </c>
      <c r="AF23" s="211">
        <v>9</v>
      </c>
      <c r="AG23" s="211">
        <v>0</v>
      </c>
      <c r="AH23" s="231">
        <v>45</v>
      </c>
      <c r="AI23" s="231">
        <v>0</v>
      </c>
      <c r="AJ23" s="211">
        <v>225</v>
      </c>
      <c r="AK23" s="211">
        <v>0</v>
      </c>
      <c r="AL23" s="231">
        <v>9</v>
      </c>
      <c r="AM23" s="231">
        <v>0</v>
      </c>
      <c r="AN23" s="211">
        <v>45</v>
      </c>
      <c r="AO23" s="232">
        <v>0</v>
      </c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</row>
    <row r="24" spans="1:52" ht="15.75" customHeight="1" x14ac:dyDescent="0.2">
      <c r="A24" s="229">
        <v>19</v>
      </c>
      <c r="B24" s="230">
        <v>8</v>
      </c>
      <c r="C24" s="211">
        <v>0</v>
      </c>
      <c r="D24" s="231">
        <v>32</v>
      </c>
      <c r="E24" s="231">
        <v>0</v>
      </c>
      <c r="F24" s="211">
        <v>160</v>
      </c>
      <c r="G24" s="211">
        <v>0</v>
      </c>
      <c r="H24" s="231">
        <v>6</v>
      </c>
      <c r="I24" s="231">
        <v>0</v>
      </c>
      <c r="J24" s="211">
        <v>30</v>
      </c>
      <c r="K24" s="211">
        <v>0</v>
      </c>
      <c r="L24" s="143">
        <v>11</v>
      </c>
      <c r="M24" s="69">
        <v>0</v>
      </c>
      <c r="N24" s="173">
        <v>40</v>
      </c>
      <c r="O24" s="173">
        <v>0</v>
      </c>
      <c r="P24" s="69">
        <v>200</v>
      </c>
      <c r="Q24" s="69">
        <v>0</v>
      </c>
      <c r="R24" s="173">
        <v>8</v>
      </c>
      <c r="S24" s="173">
        <v>0</v>
      </c>
      <c r="T24" s="69">
        <f t="shared" ref="T24:U24" si="22">R24*5</f>
        <v>40</v>
      </c>
      <c r="U24" s="69">
        <f t="shared" si="22"/>
        <v>0</v>
      </c>
      <c r="V24" s="230">
        <v>11</v>
      </c>
      <c r="W24" s="211">
        <v>0</v>
      </c>
      <c r="X24" s="231">
        <v>55</v>
      </c>
      <c r="Y24" s="231">
        <v>0</v>
      </c>
      <c r="Z24" s="211">
        <v>275</v>
      </c>
      <c r="AA24" s="211">
        <v>0</v>
      </c>
      <c r="AB24" s="231">
        <v>11</v>
      </c>
      <c r="AC24" s="231">
        <v>0</v>
      </c>
      <c r="AD24" s="211">
        <v>55</v>
      </c>
      <c r="AE24" s="232">
        <v>0</v>
      </c>
      <c r="AF24" s="211">
        <v>11</v>
      </c>
      <c r="AG24" s="211">
        <v>0</v>
      </c>
      <c r="AH24" s="231">
        <v>55</v>
      </c>
      <c r="AI24" s="231">
        <v>0</v>
      </c>
      <c r="AJ24" s="211">
        <v>275</v>
      </c>
      <c r="AK24" s="211">
        <v>0</v>
      </c>
      <c r="AL24" s="231">
        <v>11</v>
      </c>
      <c r="AM24" s="231">
        <v>0</v>
      </c>
      <c r="AN24" s="211">
        <v>55</v>
      </c>
      <c r="AO24" s="232">
        <v>0</v>
      </c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</row>
    <row r="25" spans="1:52" ht="15.75" customHeight="1" x14ac:dyDescent="0.2">
      <c r="A25" s="229">
        <v>20</v>
      </c>
      <c r="B25" s="230">
        <v>8</v>
      </c>
      <c r="C25" s="211">
        <v>0</v>
      </c>
      <c r="D25" s="231">
        <v>32</v>
      </c>
      <c r="E25" s="231">
        <v>0</v>
      </c>
      <c r="F25" s="211">
        <v>160</v>
      </c>
      <c r="G25" s="211">
        <v>0</v>
      </c>
      <c r="H25" s="231">
        <v>6</v>
      </c>
      <c r="I25" s="231">
        <v>0</v>
      </c>
      <c r="J25" s="211">
        <v>30</v>
      </c>
      <c r="K25" s="211">
        <v>0</v>
      </c>
      <c r="L25" s="143">
        <v>11</v>
      </c>
      <c r="M25" s="69">
        <v>0</v>
      </c>
      <c r="N25" s="173">
        <v>44</v>
      </c>
      <c r="O25" s="173">
        <v>0</v>
      </c>
      <c r="P25" s="69">
        <v>220</v>
      </c>
      <c r="Q25" s="69">
        <v>0</v>
      </c>
      <c r="R25" s="173">
        <v>10</v>
      </c>
      <c r="S25" s="173">
        <v>0</v>
      </c>
      <c r="T25" s="69">
        <f t="shared" ref="T25:U25" si="23">R25*5</f>
        <v>50</v>
      </c>
      <c r="U25" s="69">
        <f t="shared" si="23"/>
        <v>0</v>
      </c>
      <c r="V25" s="230">
        <v>11</v>
      </c>
      <c r="W25" s="211">
        <v>0</v>
      </c>
      <c r="X25" s="231">
        <v>55</v>
      </c>
      <c r="Y25" s="231">
        <v>0</v>
      </c>
      <c r="Z25" s="211">
        <v>275</v>
      </c>
      <c r="AA25" s="211">
        <v>0</v>
      </c>
      <c r="AB25" s="231">
        <v>11</v>
      </c>
      <c r="AC25" s="231">
        <v>0</v>
      </c>
      <c r="AD25" s="211">
        <v>55</v>
      </c>
      <c r="AE25" s="232">
        <v>0</v>
      </c>
      <c r="AF25" s="211">
        <v>11</v>
      </c>
      <c r="AG25" s="211">
        <v>0</v>
      </c>
      <c r="AH25" s="231">
        <v>55</v>
      </c>
      <c r="AI25" s="231">
        <v>0</v>
      </c>
      <c r="AJ25" s="211">
        <v>275</v>
      </c>
      <c r="AK25" s="211">
        <v>0</v>
      </c>
      <c r="AL25" s="231">
        <v>11</v>
      </c>
      <c r="AM25" s="231">
        <v>0</v>
      </c>
      <c r="AN25" s="211">
        <v>55</v>
      </c>
      <c r="AO25" s="232">
        <v>0</v>
      </c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</row>
    <row r="26" spans="1:52" ht="15.75" customHeight="1" x14ac:dyDescent="0.2">
      <c r="A26" s="229">
        <v>21</v>
      </c>
      <c r="B26" s="230">
        <v>8</v>
      </c>
      <c r="C26" s="211">
        <v>0</v>
      </c>
      <c r="D26" s="231">
        <v>32</v>
      </c>
      <c r="E26" s="231">
        <v>0</v>
      </c>
      <c r="F26" s="211">
        <v>160</v>
      </c>
      <c r="G26" s="211">
        <v>0</v>
      </c>
      <c r="H26" s="231">
        <v>6</v>
      </c>
      <c r="I26" s="231">
        <v>0</v>
      </c>
      <c r="J26" s="211">
        <v>30</v>
      </c>
      <c r="K26" s="211">
        <v>0</v>
      </c>
      <c r="L26" s="143">
        <v>11</v>
      </c>
      <c r="M26" s="69">
        <v>0</v>
      </c>
      <c r="N26" s="173">
        <v>44</v>
      </c>
      <c r="O26" s="173">
        <v>0</v>
      </c>
      <c r="P26" s="69">
        <v>220</v>
      </c>
      <c r="Q26" s="69">
        <v>0</v>
      </c>
      <c r="R26" s="173">
        <v>10</v>
      </c>
      <c r="S26" s="173">
        <v>0</v>
      </c>
      <c r="T26" s="69">
        <f t="shared" ref="T26:U26" si="24">R26*5</f>
        <v>50</v>
      </c>
      <c r="U26" s="69">
        <f t="shared" si="24"/>
        <v>0</v>
      </c>
      <c r="V26" s="230">
        <v>11</v>
      </c>
      <c r="W26" s="211">
        <v>0</v>
      </c>
      <c r="X26" s="231">
        <v>55</v>
      </c>
      <c r="Y26" s="231">
        <v>0</v>
      </c>
      <c r="Z26" s="211">
        <v>275</v>
      </c>
      <c r="AA26" s="211">
        <v>0</v>
      </c>
      <c r="AB26" s="231">
        <v>11</v>
      </c>
      <c r="AC26" s="231">
        <v>0</v>
      </c>
      <c r="AD26" s="211">
        <v>55</v>
      </c>
      <c r="AE26" s="232">
        <v>0</v>
      </c>
      <c r="AF26" s="211">
        <v>11</v>
      </c>
      <c r="AG26" s="211">
        <v>0</v>
      </c>
      <c r="AH26" s="231">
        <v>55</v>
      </c>
      <c r="AI26" s="231">
        <v>0</v>
      </c>
      <c r="AJ26" s="211">
        <v>275</v>
      </c>
      <c r="AK26" s="211">
        <v>0</v>
      </c>
      <c r="AL26" s="231">
        <v>11</v>
      </c>
      <c r="AM26" s="231">
        <v>0</v>
      </c>
      <c r="AN26" s="211">
        <v>55</v>
      </c>
      <c r="AO26" s="232">
        <v>0</v>
      </c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</row>
    <row r="27" spans="1:52" ht="15.75" customHeight="1" x14ac:dyDescent="0.2">
      <c r="A27" s="229">
        <v>22</v>
      </c>
      <c r="B27" s="230">
        <v>8</v>
      </c>
      <c r="C27" s="211">
        <v>0</v>
      </c>
      <c r="D27" s="173">
        <v>32</v>
      </c>
      <c r="E27" s="173">
        <v>0</v>
      </c>
      <c r="F27" s="211">
        <v>160</v>
      </c>
      <c r="G27" s="211">
        <v>0</v>
      </c>
      <c r="H27" s="231">
        <v>6</v>
      </c>
      <c r="I27" s="231">
        <v>0</v>
      </c>
      <c r="J27" s="211">
        <v>30</v>
      </c>
      <c r="K27" s="211">
        <v>0</v>
      </c>
      <c r="L27" s="143">
        <v>11</v>
      </c>
      <c r="M27" s="69">
        <v>0</v>
      </c>
      <c r="N27" s="173">
        <v>48</v>
      </c>
      <c r="O27" s="173">
        <v>0</v>
      </c>
      <c r="P27" s="69">
        <v>240</v>
      </c>
      <c r="Q27" s="69">
        <v>0</v>
      </c>
      <c r="R27" s="173">
        <v>10</v>
      </c>
      <c r="S27" s="173">
        <v>0</v>
      </c>
      <c r="T27" s="69">
        <f t="shared" ref="T27:U27" si="25">R27*5</f>
        <v>50</v>
      </c>
      <c r="U27" s="69">
        <f t="shared" si="25"/>
        <v>0</v>
      </c>
      <c r="V27" s="230">
        <v>11</v>
      </c>
      <c r="W27" s="211">
        <v>0</v>
      </c>
      <c r="X27" s="231">
        <v>55</v>
      </c>
      <c r="Y27" s="231">
        <v>0</v>
      </c>
      <c r="Z27" s="211">
        <v>275</v>
      </c>
      <c r="AA27" s="211">
        <v>0</v>
      </c>
      <c r="AB27" s="231">
        <v>11</v>
      </c>
      <c r="AC27" s="231">
        <v>0</v>
      </c>
      <c r="AD27" s="211">
        <v>55</v>
      </c>
      <c r="AE27" s="232">
        <v>0</v>
      </c>
      <c r="AF27" s="211">
        <v>11</v>
      </c>
      <c r="AG27" s="211">
        <v>0</v>
      </c>
      <c r="AH27" s="231">
        <v>55</v>
      </c>
      <c r="AI27" s="231">
        <v>0</v>
      </c>
      <c r="AJ27" s="211">
        <v>275</v>
      </c>
      <c r="AK27" s="211">
        <v>0</v>
      </c>
      <c r="AL27" s="231">
        <v>11</v>
      </c>
      <c r="AM27" s="231">
        <v>0</v>
      </c>
      <c r="AN27" s="211">
        <v>55</v>
      </c>
      <c r="AO27" s="232">
        <v>0</v>
      </c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</row>
    <row r="28" spans="1:52" ht="15.75" customHeight="1" x14ac:dyDescent="0.2">
      <c r="A28" s="229">
        <v>23</v>
      </c>
      <c r="B28" s="230">
        <v>8</v>
      </c>
      <c r="C28" s="211">
        <v>0</v>
      </c>
      <c r="D28" s="231">
        <v>32</v>
      </c>
      <c r="E28" s="231">
        <v>0</v>
      </c>
      <c r="F28" s="211">
        <v>160</v>
      </c>
      <c r="G28" s="211">
        <v>0</v>
      </c>
      <c r="H28" s="231">
        <v>6</v>
      </c>
      <c r="I28" s="231">
        <v>0</v>
      </c>
      <c r="J28" s="211">
        <v>30</v>
      </c>
      <c r="K28" s="211">
        <v>0</v>
      </c>
      <c r="L28" s="143">
        <v>11</v>
      </c>
      <c r="M28" s="69">
        <v>0</v>
      </c>
      <c r="N28" s="173">
        <v>48</v>
      </c>
      <c r="O28" s="173">
        <v>0</v>
      </c>
      <c r="P28" s="69">
        <v>240</v>
      </c>
      <c r="Q28" s="69">
        <v>0</v>
      </c>
      <c r="R28" s="173">
        <v>12</v>
      </c>
      <c r="S28" s="173">
        <v>0</v>
      </c>
      <c r="T28" s="69">
        <f t="shared" ref="T28:U28" si="26">R28*5</f>
        <v>60</v>
      </c>
      <c r="U28" s="69">
        <f t="shared" si="26"/>
        <v>0</v>
      </c>
      <c r="V28" s="230">
        <v>11</v>
      </c>
      <c r="W28" s="211">
        <v>0</v>
      </c>
      <c r="X28" s="231">
        <v>55</v>
      </c>
      <c r="Y28" s="231">
        <v>0</v>
      </c>
      <c r="Z28" s="211">
        <v>275</v>
      </c>
      <c r="AA28" s="211">
        <v>0</v>
      </c>
      <c r="AB28" s="231">
        <v>11</v>
      </c>
      <c r="AC28" s="231">
        <v>0</v>
      </c>
      <c r="AD28" s="211">
        <v>55</v>
      </c>
      <c r="AE28" s="232">
        <v>0</v>
      </c>
      <c r="AF28" s="211">
        <v>11</v>
      </c>
      <c r="AG28" s="211">
        <v>0</v>
      </c>
      <c r="AH28" s="231">
        <v>55</v>
      </c>
      <c r="AI28" s="231">
        <v>0</v>
      </c>
      <c r="AJ28" s="211">
        <v>275</v>
      </c>
      <c r="AK28" s="211">
        <v>0</v>
      </c>
      <c r="AL28" s="231">
        <v>11</v>
      </c>
      <c r="AM28" s="231">
        <v>0</v>
      </c>
      <c r="AN28" s="211">
        <v>55</v>
      </c>
      <c r="AO28" s="232">
        <v>0</v>
      </c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</row>
    <row r="29" spans="1:52" ht="15.75" customHeight="1" x14ac:dyDescent="0.2">
      <c r="A29" s="229">
        <v>24</v>
      </c>
      <c r="B29" s="230">
        <v>11</v>
      </c>
      <c r="C29" s="211">
        <v>0</v>
      </c>
      <c r="D29" s="231">
        <v>44</v>
      </c>
      <c r="E29" s="231">
        <v>0</v>
      </c>
      <c r="F29" s="211">
        <v>220</v>
      </c>
      <c r="G29" s="211">
        <v>0</v>
      </c>
      <c r="H29" s="231">
        <v>9</v>
      </c>
      <c r="I29" s="231">
        <v>0</v>
      </c>
      <c r="J29" s="211">
        <v>45</v>
      </c>
      <c r="K29" s="211">
        <v>0</v>
      </c>
      <c r="L29" s="143">
        <v>14</v>
      </c>
      <c r="M29" s="69">
        <v>0</v>
      </c>
      <c r="N29" s="173">
        <v>56</v>
      </c>
      <c r="O29" s="173">
        <v>0</v>
      </c>
      <c r="P29" s="69">
        <v>280</v>
      </c>
      <c r="Q29" s="69">
        <v>0</v>
      </c>
      <c r="R29" s="173">
        <v>12</v>
      </c>
      <c r="S29" s="173">
        <v>0</v>
      </c>
      <c r="T29" s="69">
        <f t="shared" ref="T29:U29" si="27">R29*5</f>
        <v>60</v>
      </c>
      <c r="U29" s="69">
        <f t="shared" si="27"/>
        <v>0</v>
      </c>
      <c r="V29" s="230">
        <v>14</v>
      </c>
      <c r="W29" s="211">
        <v>0</v>
      </c>
      <c r="X29" s="231">
        <v>70</v>
      </c>
      <c r="Y29" s="231">
        <v>0</v>
      </c>
      <c r="Z29" s="211">
        <v>350</v>
      </c>
      <c r="AA29" s="211">
        <v>0</v>
      </c>
      <c r="AB29" s="231">
        <v>14</v>
      </c>
      <c r="AC29" s="231">
        <v>0</v>
      </c>
      <c r="AD29" s="211">
        <v>70</v>
      </c>
      <c r="AE29" s="232">
        <v>0</v>
      </c>
      <c r="AF29" s="211">
        <v>14</v>
      </c>
      <c r="AG29" s="211">
        <v>0</v>
      </c>
      <c r="AH29" s="231">
        <v>70</v>
      </c>
      <c r="AI29" s="231">
        <v>0</v>
      </c>
      <c r="AJ29" s="211">
        <v>350</v>
      </c>
      <c r="AK29" s="211">
        <v>0</v>
      </c>
      <c r="AL29" s="231">
        <v>14</v>
      </c>
      <c r="AM29" s="231">
        <v>0</v>
      </c>
      <c r="AN29" s="211">
        <v>70</v>
      </c>
      <c r="AO29" s="232">
        <v>0</v>
      </c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</row>
    <row r="30" spans="1:52" ht="15.75" customHeight="1" x14ac:dyDescent="0.2">
      <c r="A30" s="229">
        <v>25</v>
      </c>
      <c r="B30" s="230">
        <v>11</v>
      </c>
      <c r="C30" s="211">
        <v>0</v>
      </c>
      <c r="D30" s="231">
        <v>44</v>
      </c>
      <c r="E30" s="231">
        <v>0</v>
      </c>
      <c r="F30" s="69">
        <v>220</v>
      </c>
      <c r="G30" s="69">
        <v>0</v>
      </c>
      <c r="H30" s="231">
        <v>9</v>
      </c>
      <c r="I30" s="231">
        <v>0</v>
      </c>
      <c r="J30" s="211">
        <v>45</v>
      </c>
      <c r="K30" s="211">
        <v>0</v>
      </c>
      <c r="L30" s="143">
        <v>14</v>
      </c>
      <c r="M30" s="69">
        <v>0</v>
      </c>
      <c r="N30" s="173">
        <v>56</v>
      </c>
      <c r="O30" s="173">
        <v>0</v>
      </c>
      <c r="P30" s="69">
        <v>280</v>
      </c>
      <c r="Q30" s="69">
        <v>0</v>
      </c>
      <c r="R30" s="173">
        <v>14</v>
      </c>
      <c r="S30" s="173">
        <v>0</v>
      </c>
      <c r="T30" s="69">
        <f t="shared" ref="T30:U30" si="28">R30*5</f>
        <v>70</v>
      </c>
      <c r="U30" s="69">
        <f t="shared" si="28"/>
        <v>0</v>
      </c>
      <c r="V30" s="230">
        <v>14</v>
      </c>
      <c r="W30" s="211">
        <v>0</v>
      </c>
      <c r="X30" s="231">
        <v>70</v>
      </c>
      <c r="Y30" s="231">
        <v>0</v>
      </c>
      <c r="Z30" s="211">
        <v>350</v>
      </c>
      <c r="AA30" s="211">
        <v>0</v>
      </c>
      <c r="AB30" s="231">
        <v>14</v>
      </c>
      <c r="AC30" s="231">
        <v>0</v>
      </c>
      <c r="AD30" s="211">
        <v>70</v>
      </c>
      <c r="AE30" s="232">
        <v>0</v>
      </c>
      <c r="AF30" s="211">
        <v>14</v>
      </c>
      <c r="AG30" s="211">
        <v>0</v>
      </c>
      <c r="AH30" s="231">
        <v>70</v>
      </c>
      <c r="AI30" s="231">
        <v>0</v>
      </c>
      <c r="AJ30" s="211">
        <v>350</v>
      </c>
      <c r="AK30" s="211">
        <v>0</v>
      </c>
      <c r="AL30" s="231">
        <v>14</v>
      </c>
      <c r="AM30" s="231">
        <v>0</v>
      </c>
      <c r="AN30" s="211">
        <v>70</v>
      </c>
      <c r="AO30" s="232">
        <v>0</v>
      </c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</row>
    <row r="31" spans="1:52" ht="15.75" customHeight="1" x14ac:dyDescent="0.2">
      <c r="A31" s="229">
        <v>26</v>
      </c>
      <c r="B31" s="230">
        <v>11</v>
      </c>
      <c r="C31" s="211">
        <v>0</v>
      </c>
      <c r="D31" s="231">
        <v>44</v>
      </c>
      <c r="E31" s="231">
        <v>0</v>
      </c>
      <c r="F31" s="211">
        <v>220</v>
      </c>
      <c r="G31" s="211">
        <v>0</v>
      </c>
      <c r="H31" s="231">
        <v>9</v>
      </c>
      <c r="I31" s="231">
        <v>0</v>
      </c>
      <c r="J31" s="211">
        <v>45</v>
      </c>
      <c r="K31" s="211">
        <v>0</v>
      </c>
      <c r="L31" s="143">
        <v>14</v>
      </c>
      <c r="M31" s="69">
        <v>0</v>
      </c>
      <c r="N31" s="173">
        <v>60</v>
      </c>
      <c r="O31" s="173">
        <v>0</v>
      </c>
      <c r="P31" s="69">
        <v>300</v>
      </c>
      <c r="Q31" s="69">
        <v>0</v>
      </c>
      <c r="R31" s="173">
        <v>14</v>
      </c>
      <c r="S31" s="173">
        <v>0</v>
      </c>
      <c r="T31" s="69">
        <f t="shared" ref="T31:U31" si="29">R31*5</f>
        <v>70</v>
      </c>
      <c r="U31" s="69">
        <f t="shared" si="29"/>
        <v>0</v>
      </c>
      <c r="V31" s="230">
        <v>14</v>
      </c>
      <c r="W31" s="211">
        <v>0</v>
      </c>
      <c r="X31" s="231">
        <v>70</v>
      </c>
      <c r="Y31" s="231">
        <v>0</v>
      </c>
      <c r="Z31" s="211">
        <v>350</v>
      </c>
      <c r="AA31" s="211">
        <v>0</v>
      </c>
      <c r="AB31" s="231">
        <v>14</v>
      </c>
      <c r="AC31" s="231">
        <v>0</v>
      </c>
      <c r="AD31" s="211">
        <v>70</v>
      </c>
      <c r="AE31" s="232">
        <v>0</v>
      </c>
      <c r="AF31" s="211">
        <v>14</v>
      </c>
      <c r="AG31" s="211">
        <v>0</v>
      </c>
      <c r="AH31" s="231">
        <v>70</v>
      </c>
      <c r="AI31" s="231">
        <v>0</v>
      </c>
      <c r="AJ31" s="211">
        <v>350</v>
      </c>
      <c r="AK31" s="211">
        <v>0</v>
      </c>
      <c r="AL31" s="231">
        <v>14</v>
      </c>
      <c r="AM31" s="231">
        <v>0</v>
      </c>
      <c r="AN31" s="211">
        <v>70</v>
      </c>
      <c r="AO31" s="232">
        <v>0</v>
      </c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</row>
    <row r="32" spans="1:52" ht="15.75" customHeight="1" x14ac:dyDescent="0.2">
      <c r="A32" s="229">
        <v>27</v>
      </c>
      <c r="B32" s="230">
        <v>11</v>
      </c>
      <c r="C32" s="211">
        <v>0</v>
      </c>
      <c r="D32" s="231">
        <v>44</v>
      </c>
      <c r="E32" s="231">
        <v>0</v>
      </c>
      <c r="F32" s="211">
        <v>220</v>
      </c>
      <c r="G32" s="211">
        <v>0</v>
      </c>
      <c r="H32" s="231">
        <v>9</v>
      </c>
      <c r="I32" s="231">
        <v>0</v>
      </c>
      <c r="J32" s="211">
        <v>45</v>
      </c>
      <c r="K32" s="211">
        <v>0</v>
      </c>
      <c r="L32" s="143">
        <v>14</v>
      </c>
      <c r="M32" s="69">
        <v>0</v>
      </c>
      <c r="N32" s="173">
        <v>60</v>
      </c>
      <c r="O32" s="173">
        <v>0</v>
      </c>
      <c r="P32" s="69">
        <v>300</v>
      </c>
      <c r="Q32" s="69">
        <v>0</v>
      </c>
      <c r="R32" s="173">
        <v>14</v>
      </c>
      <c r="S32" s="173">
        <v>0</v>
      </c>
      <c r="T32" s="69">
        <f t="shared" ref="T32:U32" si="30">R32*5</f>
        <v>70</v>
      </c>
      <c r="U32" s="69">
        <f t="shared" si="30"/>
        <v>0</v>
      </c>
      <c r="V32" s="230">
        <v>14</v>
      </c>
      <c r="W32" s="211">
        <v>0</v>
      </c>
      <c r="X32" s="231">
        <v>70</v>
      </c>
      <c r="Y32" s="231">
        <v>0</v>
      </c>
      <c r="Z32" s="211">
        <v>350</v>
      </c>
      <c r="AA32" s="211">
        <v>0</v>
      </c>
      <c r="AB32" s="231">
        <v>14</v>
      </c>
      <c r="AC32" s="231">
        <v>0</v>
      </c>
      <c r="AD32" s="211">
        <v>70</v>
      </c>
      <c r="AE32" s="232">
        <v>0</v>
      </c>
      <c r="AF32" s="211">
        <v>14</v>
      </c>
      <c r="AG32" s="211">
        <v>0</v>
      </c>
      <c r="AH32" s="231">
        <v>70</v>
      </c>
      <c r="AI32" s="231">
        <v>0</v>
      </c>
      <c r="AJ32" s="211">
        <v>350</v>
      </c>
      <c r="AK32" s="211">
        <v>0</v>
      </c>
      <c r="AL32" s="231">
        <v>14</v>
      </c>
      <c r="AM32" s="231">
        <v>0</v>
      </c>
      <c r="AN32" s="211">
        <v>70</v>
      </c>
      <c r="AO32" s="232">
        <v>0</v>
      </c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</row>
    <row r="33" spans="1:52" ht="15.75" customHeight="1" x14ac:dyDescent="0.2">
      <c r="A33" s="229">
        <v>28</v>
      </c>
      <c r="B33" s="230">
        <v>12</v>
      </c>
      <c r="C33" s="211">
        <v>0</v>
      </c>
      <c r="D33" s="231">
        <v>48</v>
      </c>
      <c r="E33" s="231">
        <v>0</v>
      </c>
      <c r="F33" s="211">
        <v>240</v>
      </c>
      <c r="G33" s="211">
        <v>0</v>
      </c>
      <c r="H33" s="231">
        <v>10</v>
      </c>
      <c r="I33" s="231">
        <v>0</v>
      </c>
      <c r="J33" s="211">
        <v>50</v>
      </c>
      <c r="K33" s="211">
        <v>0</v>
      </c>
      <c r="L33" s="143">
        <v>16</v>
      </c>
      <c r="M33" s="69">
        <v>0</v>
      </c>
      <c r="N33" s="173">
        <v>64</v>
      </c>
      <c r="O33" s="173">
        <v>0</v>
      </c>
      <c r="P33" s="69">
        <v>320</v>
      </c>
      <c r="Q33" s="69">
        <v>0</v>
      </c>
      <c r="R33" s="173">
        <v>14</v>
      </c>
      <c r="S33" s="173">
        <v>0</v>
      </c>
      <c r="T33" s="69">
        <f t="shared" ref="T33:U33" si="31">R33*5</f>
        <v>70</v>
      </c>
      <c r="U33" s="69">
        <f t="shared" si="31"/>
        <v>0</v>
      </c>
      <c r="V33" s="230">
        <v>16</v>
      </c>
      <c r="W33" s="211">
        <v>0</v>
      </c>
      <c r="X33" s="231">
        <v>80</v>
      </c>
      <c r="Y33" s="231">
        <v>0</v>
      </c>
      <c r="Z33" s="211">
        <v>400</v>
      </c>
      <c r="AA33" s="211">
        <v>0</v>
      </c>
      <c r="AB33" s="231">
        <v>16</v>
      </c>
      <c r="AC33" s="231">
        <v>0</v>
      </c>
      <c r="AD33" s="211">
        <v>80</v>
      </c>
      <c r="AE33" s="232">
        <v>0</v>
      </c>
      <c r="AF33" s="211">
        <v>16</v>
      </c>
      <c r="AG33" s="211">
        <v>0</v>
      </c>
      <c r="AH33" s="231">
        <v>80</v>
      </c>
      <c r="AI33" s="231">
        <v>0</v>
      </c>
      <c r="AJ33" s="211">
        <v>400</v>
      </c>
      <c r="AK33" s="211">
        <v>0</v>
      </c>
      <c r="AL33" s="231">
        <v>16</v>
      </c>
      <c r="AM33" s="231">
        <v>0</v>
      </c>
      <c r="AN33" s="211">
        <v>80</v>
      </c>
      <c r="AO33" s="232">
        <v>0</v>
      </c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</row>
    <row r="34" spans="1:52" ht="15.75" customHeight="1" x14ac:dyDescent="0.2">
      <c r="A34" s="229">
        <v>29</v>
      </c>
      <c r="B34" s="230">
        <v>12</v>
      </c>
      <c r="C34" s="211">
        <v>0</v>
      </c>
      <c r="D34" s="231">
        <v>48</v>
      </c>
      <c r="E34" s="231">
        <v>0</v>
      </c>
      <c r="F34" s="211">
        <v>240</v>
      </c>
      <c r="G34" s="211">
        <v>0</v>
      </c>
      <c r="H34" s="231">
        <v>10</v>
      </c>
      <c r="I34" s="231">
        <v>0</v>
      </c>
      <c r="J34" s="211">
        <v>50</v>
      </c>
      <c r="K34" s="211">
        <v>0</v>
      </c>
      <c r="L34" s="143">
        <v>16</v>
      </c>
      <c r="M34" s="69">
        <v>0</v>
      </c>
      <c r="N34" s="173">
        <v>68</v>
      </c>
      <c r="O34" s="173">
        <v>0</v>
      </c>
      <c r="P34" s="69">
        <v>340</v>
      </c>
      <c r="Q34" s="69">
        <v>0</v>
      </c>
      <c r="R34" s="173">
        <v>16</v>
      </c>
      <c r="S34" s="173">
        <v>0</v>
      </c>
      <c r="T34" s="69">
        <f t="shared" ref="T34:U34" si="32">R34*5</f>
        <v>80</v>
      </c>
      <c r="U34" s="69">
        <f t="shared" si="32"/>
        <v>0</v>
      </c>
      <c r="V34" s="230">
        <v>16</v>
      </c>
      <c r="W34" s="211">
        <v>0</v>
      </c>
      <c r="X34" s="231">
        <v>80</v>
      </c>
      <c r="Y34" s="231">
        <v>0</v>
      </c>
      <c r="Z34" s="211">
        <v>400</v>
      </c>
      <c r="AA34" s="211">
        <v>0</v>
      </c>
      <c r="AB34" s="231">
        <v>16</v>
      </c>
      <c r="AC34" s="231">
        <v>0</v>
      </c>
      <c r="AD34" s="211">
        <v>80</v>
      </c>
      <c r="AE34" s="232">
        <v>0</v>
      </c>
      <c r="AF34" s="211">
        <v>16</v>
      </c>
      <c r="AG34" s="211">
        <v>0</v>
      </c>
      <c r="AH34" s="231">
        <v>80</v>
      </c>
      <c r="AI34" s="231">
        <v>0</v>
      </c>
      <c r="AJ34" s="211">
        <v>400</v>
      </c>
      <c r="AK34" s="211">
        <v>0</v>
      </c>
      <c r="AL34" s="231">
        <v>16</v>
      </c>
      <c r="AM34" s="231">
        <v>0</v>
      </c>
      <c r="AN34" s="211">
        <v>80</v>
      </c>
      <c r="AO34" s="232">
        <v>0</v>
      </c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</row>
    <row r="35" spans="1:52" ht="15.75" customHeight="1" x14ac:dyDescent="0.2">
      <c r="A35" s="229">
        <v>30</v>
      </c>
      <c r="B35" s="230">
        <v>12</v>
      </c>
      <c r="C35" s="211">
        <v>1</v>
      </c>
      <c r="D35" s="231">
        <v>48</v>
      </c>
      <c r="E35" s="231">
        <v>4</v>
      </c>
      <c r="F35" s="211">
        <v>240</v>
      </c>
      <c r="G35" s="211">
        <v>20</v>
      </c>
      <c r="H35" s="231">
        <v>10</v>
      </c>
      <c r="I35" s="231">
        <v>1</v>
      </c>
      <c r="J35" s="211">
        <v>50</v>
      </c>
      <c r="K35" s="211">
        <v>5</v>
      </c>
      <c r="L35" s="143">
        <v>16</v>
      </c>
      <c r="M35" s="69">
        <v>1</v>
      </c>
      <c r="N35" s="173">
        <v>68</v>
      </c>
      <c r="O35" s="173">
        <v>6</v>
      </c>
      <c r="P35" s="69">
        <v>340</v>
      </c>
      <c r="Q35" s="69">
        <v>30</v>
      </c>
      <c r="R35" s="173">
        <v>16</v>
      </c>
      <c r="S35" s="173">
        <v>1</v>
      </c>
      <c r="T35" s="69">
        <f t="shared" ref="T35:U35" si="33">R35*5</f>
        <v>80</v>
      </c>
      <c r="U35" s="69">
        <f t="shared" si="33"/>
        <v>5</v>
      </c>
      <c r="V35" s="230">
        <v>16</v>
      </c>
      <c r="W35" s="211">
        <v>1</v>
      </c>
      <c r="X35" s="231">
        <v>80</v>
      </c>
      <c r="Y35" s="231">
        <v>5</v>
      </c>
      <c r="Z35" s="211">
        <v>400</v>
      </c>
      <c r="AA35" s="211">
        <v>25</v>
      </c>
      <c r="AB35" s="231">
        <v>16</v>
      </c>
      <c r="AC35" s="231">
        <v>1</v>
      </c>
      <c r="AD35" s="211">
        <v>80</v>
      </c>
      <c r="AE35" s="232">
        <v>5</v>
      </c>
      <c r="AF35" s="211">
        <v>16</v>
      </c>
      <c r="AG35" s="211">
        <v>1</v>
      </c>
      <c r="AH35" s="231">
        <v>80</v>
      </c>
      <c r="AI35" s="231">
        <v>5</v>
      </c>
      <c r="AJ35" s="211">
        <v>400</v>
      </c>
      <c r="AK35" s="211">
        <v>25</v>
      </c>
      <c r="AL35" s="231">
        <v>16</v>
      </c>
      <c r="AM35" s="231">
        <v>1</v>
      </c>
      <c r="AN35" s="211">
        <v>80</v>
      </c>
      <c r="AO35" s="232">
        <v>5</v>
      </c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</row>
    <row r="36" spans="1:52" ht="15.75" customHeight="1" x14ac:dyDescent="0.2">
      <c r="A36" s="229">
        <v>31</v>
      </c>
      <c r="B36" s="230">
        <v>14</v>
      </c>
      <c r="C36" s="211">
        <v>2</v>
      </c>
      <c r="D36" s="231">
        <v>56</v>
      </c>
      <c r="E36" s="231">
        <v>8</v>
      </c>
      <c r="F36" s="211">
        <v>280</v>
      </c>
      <c r="G36" s="211">
        <v>40</v>
      </c>
      <c r="H36" s="231">
        <v>11</v>
      </c>
      <c r="I36" s="231">
        <v>2</v>
      </c>
      <c r="J36" s="211">
        <v>55</v>
      </c>
      <c r="K36" s="211">
        <v>10</v>
      </c>
      <c r="L36" s="143">
        <v>18</v>
      </c>
      <c r="M36" s="69">
        <v>2</v>
      </c>
      <c r="N36" s="173">
        <v>72</v>
      </c>
      <c r="O36" s="173">
        <v>8</v>
      </c>
      <c r="P36" s="69">
        <v>360</v>
      </c>
      <c r="Q36" s="69">
        <v>40</v>
      </c>
      <c r="R36" s="173">
        <v>18</v>
      </c>
      <c r="S36" s="173">
        <v>1</v>
      </c>
      <c r="T36" s="69">
        <f t="shared" ref="T36:U36" si="34">R36*5</f>
        <v>90</v>
      </c>
      <c r="U36" s="69">
        <f t="shared" si="34"/>
        <v>5</v>
      </c>
      <c r="V36" s="230">
        <v>18</v>
      </c>
      <c r="W36" s="211">
        <v>2</v>
      </c>
      <c r="X36" s="231">
        <v>90</v>
      </c>
      <c r="Y36" s="231">
        <v>10</v>
      </c>
      <c r="Z36" s="211">
        <v>450</v>
      </c>
      <c r="AA36" s="211">
        <v>50</v>
      </c>
      <c r="AB36" s="231">
        <v>18</v>
      </c>
      <c r="AC36" s="231">
        <v>2</v>
      </c>
      <c r="AD36" s="211">
        <v>90</v>
      </c>
      <c r="AE36" s="232">
        <v>10</v>
      </c>
      <c r="AF36" s="211">
        <v>18</v>
      </c>
      <c r="AG36" s="211">
        <v>2</v>
      </c>
      <c r="AH36" s="231">
        <v>90</v>
      </c>
      <c r="AI36" s="231">
        <v>10</v>
      </c>
      <c r="AJ36" s="211">
        <v>450</v>
      </c>
      <c r="AK36" s="211">
        <v>50</v>
      </c>
      <c r="AL36" s="231">
        <v>18</v>
      </c>
      <c r="AM36" s="231">
        <v>2</v>
      </c>
      <c r="AN36" s="211">
        <v>90</v>
      </c>
      <c r="AO36" s="232">
        <v>10</v>
      </c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</row>
    <row r="37" spans="1:52" ht="15.75" customHeight="1" x14ac:dyDescent="0.2">
      <c r="A37" s="229">
        <v>32</v>
      </c>
      <c r="B37" s="230">
        <v>14</v>
      </c>
      <c r="C37" s="211">
        <v>2</v>
      </c>
      <c r="D37" s="231">
        <v>56</v>
      </c>
      <c r="E37" s="231">
        <v>8</v>
      </c>
      <c r="F37" s="211">
        <v>280</v>
      </c>
      <c r="G37" s="211">
        <v>40</v>
      </c>
      <c r="H37" s="231">
        <v>11</v>
      </c>
      <c r="I37" s="231">
        <v>2</v>
      </c>
      <c r="J37" s="211">
        <v>55</v>
      </c>
      <c r="K37" s="211">
        <v>10</v>
      </c>
      <c r="L37" s="143">
        <v>18</v>
      </c>
      <c r="M37" s="69">
        <v>2</v>
      </c>
      <c r="N37" s="173">
        <v>80</v>
      </c>
      <c r="O37" s="173">
        <v>8</v>
      </c>
      <c r="P37" s="69">
        <v>400</v>
      </c>
      <c r="Q37" s="69">
        <v>40</v>
      </c>
      <c r="R37" s="173">
        <v>18</v>
      </c>
      <c r="S37" s="173">
        <v>2</v>
      </c>
      <c r="T37" s="69">
        <f t="shared" ref="T37:U37" si="35">R37*5</f>
        <v>90</v>
      </c>
      <c r="U37" s="69">
        <f t="shared" si="35"/>
        <v>10</v>
      </c>
      <c r="V37" s="230">
        <v>18</v>
      </c>
      <c r="W37" s="211">
        <v>2</v>
      </c>
      <c r="X37" s="231">
        <v>90</v>
      </c>
      <c r="Y37" s="231">
        <v>10</v>
      </c>
      <c r="Z37" s="211">
        <v>450</v>
      </c>
      <c r="AA37" s="211">
        <v>50</v>
      </c>
      <c r="AB37" s="231">
        <v>18</v>
      </c>
      <c r="AC37" s="231">
        <v>2</v>
      </c>
      <c r="AD37" s="211">
        <v>90</v>
      </c>
      <c r="AE37" s="232">
        <v>10</v>
      </c>
      <c r="AF37" s="211">
        <v>18</v>
      </c>
      <c r="AG37" s="211">
        <v>2</v>
      </c>
      <c r="AH37" s="231">
        <v>90</v>
      </c>
      <c r="AI37" s="231">
        <v>10</v>
      </c>
      <c r="AJ37" s="211">
        <v>450</v>
      </c>
      <c r="AK37" s="211">
        <v>50</v>
      </c>
      <c r="AL37" s="231">
        <v>18</v>
      </c>
      <c r="AM37" s="231">
        <v>2</v>
      </c>
      <c r="AN37" s="211">
        <v>90</v>
      </c>
      <c r="AO37" s="232">
        <v>10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</row>
    <row r="38" spans="1:52" ht="15.75" customHeight="1" x14ac:dyDescent="0.2">
      <c r="A38" s="229">
        <v>33</v>
      </c>
      <c r="B38" s="230">
        <v>15</v>
      </c>
      <c r="C38" s="211">
        <v>2</v>
      </c>
      <c r="D38" s="231">
        <v>60</v>
      </c>
      <c r="E38" s="231">
        <v>8</v>
      </c>
      <c r="F38" s="211">
        <v>300</v>
      </c>
      <c r="G38" s="211">
        <v>40</v>
      </c>
      <c r="H38" s="231">
        <v>12</v>
      </c>
      <c r="I38" s="231">
        <v>2</v>
      </c>
      <c r="J38" s="211">
        <v>60</v>
      </c>
      <c r="K38" s="211">
        <v>10</v>
      </c>
      <c r="L38" s="143">
        <v>20</v>
      </c>
      <c r="M38" s="69">
        <v>2</v>
      </c>
      <c r="N38" s="173">
        <v>80</v>
      </c>
      <c r="O38" s="173">
        <v>10</v>
      </c>
      <c r="P38" s="69">
        <v>400</v>
      </c>
      <c r="Q38" s="69">
        <v>50</v>
      </c>
      <c r="R38" s="173">
        <v>20</v>
      </c>
      <c r="S38" s="173">
        <v>2</v>
      </c>
      <c r="T38" s="69">
        <f t="shared" ref="T38:U38" si="36">R38*5</f>
        <v>100</v>
      </c>
      <c r="U38" s="69">
        <f t="shared" si="36"/>
        <v>10</v>
      </c>
      <c r="V38" s="230">
        <v>20</v>
      </c>
      <c r="W38" s="211">
        <v>2</v>
      </c>
      <c r="X38" s="231">
        <v>100</v>
      </c>
      <c r="Y38" s="231">
        <v>10</v>
      </c>
      <c r="Z38" s="211">
        <v>500</v>
      </c>
      <c r="AA38" s="211">
        <v>50</v>
      </c>
      <c r="AB38" s="231">
        <v>20</v>
      </c>
      <c r="AC38" s="231">
        <v>2</v>
      </c>
      <c r="AD38" s="211">
        <v>100</v>
      </c>
      <c r="AE38" s="232">
        <v>10</v>
      </c>
      <c r="AF38" s="211">
        <v>20</v>
      </c>
      <c r="AG38" s="211">
        <v>2</v>
      </c>
      <c r="AH38" s="231">
        <v>100</v>
      </c>
      <c r="AI38" s="231">
        <v>10</v>
      </c>
      <c r="AJ38" s="211">
        <v>500</v>
      </c>
      <c r="AK38" s="211">
        <v>50</v>
      </c>
      <c r="AL38" s="231">
        <v>20</v>
      </c>
      <c r="AM38" s="231">
        <v>2</v>
      </c>
      <c r="AN38" s="211">
        <v>100</v>
      </c>
      <c r="AO38" s="232">
        <v>10</v>
      </c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</row>
    <row r="39" spans="1:52" ht="15.75" customHeight="1" x14ac:dyDescent="0.2">
      <c r="A39" s="229">
        <v>34</v>
      </c>
      <c r="B39" s="230">
        <v>15</v>
      </c>
      <c r="C39" s="211">
        <v>2</v>
      </c>
      <c r="D39" s="231">
        <v>60</v>
      </c>
      <c r="E39" s="231">
        <v>8</v>
      </c>
      <c r="F39" s="211">
        <v>300</v>
      </c>
      <c r="G39" s="211">
        <v>40</v>
      </c>
      <c r="H39" s="231">
        <v>12</v>
      </c>
      <c r="I39" s="231">
        <v>2</v>
      </c>
      <c r="J39" s="211">
        <v>60</v>
      </c>
      <c r="K39" s="211">
        <v>10</v>
      </c>
      <c r="L39" s="143">
        <v>20</v>
      </c>
      <c r="M39" s="69">
        <v>2</v>
      </c>
      <c r="N39" s="173">
        <v>80</v>
      </c>
      <c r="O39" s="173">
        <v>10</v>
      </c>
      <c r="P39" s="69">
        <v>400</v>
      </c>
      <c r="Q39" s="69">
        <v>50</v>
      </c>
      <c r="R39" s="173">
        <v>20</v>
      </c>
      <c r="S39" s="173">
        <v>2</v>
      </c>
      <c r="T39" s="69">
        <f t="shared" ref="T39:U39" si="37">R39*5</f>
        <v>100</v>
      </c>
      <c r="U39" s="69">
        <f t="shared" si="37"/>
        <v>10</v>
      </c>
      <c r="V39" s="230">
        <v>20</v>
      </c>
      <c r="W39" s="211">
        <v>2</v>
      </c>
      <c r="X39" s="231">
        <v>100</v>
      </c>
      <c r="Y39" s="231">
        <v>10</v>
      </c>
      <c r="Z39" s="211">
        <v>500</v>
      </c>
      <c r="AA39" s="211">
        <v>50</v>
      </c>
      <c r="AB39" s="231">
        <v>20</v>
      </c>
      <c r="AC39" s="231">
        <v>2</v>
      </c>
      <c r="AD39" s="211">
        <v>100</v>
      </c>
      <c r="AE39" s="232">
        <v>10</v>
      </c>
      <c r="AF39" s="211">
        <v>20</v>
      </c>
      <c r="AG39" s="211">
        <v>2</v>
      </c>
      <c r="AH39" s="231">
        <v>100</v>
      </c>
      <c r="AI39" s="231">
        <v>10</v>
      </c>
      <c r="AJ39" s="211">
        <v>500</v>
      </c>
      <c r="AK39" s="211">
        <v>50</v>
      </c>
      <c r="AL39" s="231">
        <v>20</v>
      </c>
      <c r="AM39" s="231">
        <v>2</v>
      </c>
      <c r="AN39" s="211">
        <v>100</v>
      </c>
      <c r="AO39" s="232">
        <v>10</v>
      </c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</row>
    <row r="40" spans="1:52" ht="15.75" customHeight="1" x14ac:dyDescent="0.2">
      <c r="A40" s="229">
        <v>35</v>
      </c>
      <c r="B40" s="230">
        <v>15</v>
      </c>
      <c r="C40" s="211">
        <v>2</v>
      </c>
      <c r="D40" s="231">
        <v>60</v>
      </c>
      <c r="E40" s="231">
        <v>8</v>
      </c>
      <c r="F40" s="211">
        <v>300</v>
      </c>
      <c r="G40" s="211">
        <v>40</v>
      </c>
      <c r="H40" s="231">
        <v>12</v>
      </c>
      <c r="I40" s="231">
        <v>2</v>
      </c>
      <c r="J40" s="211">
        <v>60</v>
      </c>
      <c r="K40" s="211">
        <v>10</v>
      </c>
      <c r="L40" s="143">
        <v>20</v>
      </c>
      <c r="M40" s="69">
        <v>3</v>
      </c>
      <c r="N40" s="173">
        <v>80</v>
      </c>
      <c r="O40" s="173">
        <v>8</v>
      </c>
      <c r="P40" s="69">
        <v>400</v>
      </c>
      <c r="Q40" s="69">
        <v>40</v>
      </c>
      <c r="R40" s="173">
        <v>25</v>
      </c>
      <c r="S40" s="173">
        <v>3</v>
      </c>
      <c r="T40" s="69">
        <f t="shared" ref="T40:U40" si="38">R40*5</f>
        <v>125</v>
      </c>
      <c r="U40" s="69">
        <f t="shared" si="38"/>
        <v>15</v>
      </c>
      <c r="V40" s="230">
        <v>20</v>
      </c>
      <c r="W40" s="211">
        <v>3</v>
      </c>
      <c r="X40" s="231">
        <v>100</v>
      </c>
      <c r="Y40" s="231">
        <v>15</v>
      </c>
      <c r="Z40" s="211">
        <v>500</v>
      </c>
      <c r="AA40" s="211">
        <v>75</v>
      </c>
      <c r="AB40" s="231">
        <v>20</v>
      </c>
      <c r="AC40" s="231">
        <v>3</v>
      </c>
      <c r="AD40" s="211">
        <v>100</v>
      </c>
      <c r="AE40" s="232">
        <v>15</v>
      </c>
      <c r="AF40" s="211">
        <v>20</v>
      </c>
      <c r="AG40" s="211">
        <v>3</v>
      </c>
      <c r="AH40" s="231">
        <v>100</v>
      </c>
      <c r="AI40" s="231">
        <v>15</v>
      </c>
      <c r="AJ40" s="211">
        <v>500</v>
      </c>
      <c r="AK40" s="211">
        <v>75</v>
      </c>
      <c r="AL40" s="231">
        <v>20</v>
      </c>
      <c r="AM40" s="231">
        <v>3</v>
      </c>
      <c r="AN40" s="211">
        <v>100</v>
      </c>
      <c r="AO40" s="232">
        <v>15</v>
      </c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</row>
    <row r="41" spans="1:52" ht="15.75" customHeight="1" x14ac:dyDescent="0.2">
      <c r="A41" s="229">
        <v>36</v>
      </c>
      <c r="B41" s="230">
        <v>19</v>
      </c>
      <c r="C41" s="211">
        <v>2</v>
      </c>
      <c r="D41" s="231">
        <v>76</v>
      </c>
      <c r="E41" s="231">
        <v>8</v>
      </c>
      <c r="F41" s="211">
        <v>380</v>
      </c>
      <c r="G41" s="211">
        <v>40</v>
      </c>
      <c r="H41" s="231">
        <v>15</v>
      </c>
      <c r="I41" s="231">
        <v>2</v>
      </c>
      <c r="J41" s="211">
        <v>75</v>
      </c>
      <c r="K41" s="211">
        <v>10</v>
      </c>
      <c r="L41" s="143">
        <v>25</v>
      </c>
      <c r="M41" s="69">
        <v>3</v>
      </c>
      <c r="N41" s="173">
        <v>100</v>
      </c>
      <c r="O41" s="173">
        <v>12</v>
      </c>
      <c r="P41" s="69">
        <v>500</v>
      </c>
      <c r="Q41" s="69">
        <v>60</v>
      </c>
      <c r="R41" s="173">
        <v>25</v>
      </c>
      <c r="S41" s="173">
        <v>3</v>
      </c>
      <c r="T41" s="69">
        <f t="shared" ref="T41:U41" si="39">R41*5</f>
        <v>125</v>
      </c>
      <c r="U41" s="69">
        <f t="shared" si="39"/>
        <v>15</v>
      </c>
      <c r="V41" s="230">
        <v>25</v>
      </c>
      <c r="W41" s="211">
        <v>3</v>
      </c>
      <c r="X41" s="231">
        <v>125</v>
      </c>
      <c r="Y41" s="231">
        <v>15</v>
      </c>
      <c r="Z41" s="211">
        <v>625</v>
      </c>
      <c r="AA41" s="211">
        <v>75</v>
      </c>
      <c r="AB41" s="231">
        <v>25</v>
      </c>
      <c r="AC41" s="231">
        <v>3</v>
      </c>
      <c r="AD41" s="211">
        <v>125</v>
      </c>
      <c r="AE41" s="232">
        <v>15</v>
      </c>
      <c r="AF41" s="211">
        <v>25</v>
      </c>
      <c r="AG41" s="211">
        <v>3</v>
      </c>
      <c r="AH41" s="231">
        <v>125</v>
      </c>
      <c r="AI41" s="231">
        <v>15</v>
      </c>
      <c r="AJ41" s="69">
        <v>625</v>
      </c>
      <c r="AK41" s="211">
        <v>75</v>
      </c>
      <c r="AL41" s="231">
        <v>25</v>
      </c>
      <c r="AM41" s="231">
        <v>3</v>
      </c>
      <c r="AN41" s="211">
        <v>125</v>
      </c>
      <c r="AO41" s="232">
        <v>15</v>
      </c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</row>
    <row r="42" spans="1:52" ht="15.75" customHeight="1" x14ac:dyDescent="0.2">
      <c r="A42" s="229">
        <v>37</v>
      </c>
      <c r="B42" s="230">
        <v>19</v>
      </c>
      <c r="C42" s="211">
        <v>3</v>
      </c>
      <c r="D42" s="231">
        <v>76</v>
      </c>
      <c r="E42" s="231">
        <v>12</v>
      </c>
      <c r="F42" s="211">
        <v>380</v>
      </c>
      <c r="G42" s="211">
        <v>60</v>
      </c>
      <c r="H42" s="231">
        <v>15</v>
      </c>
      <c r="I42" s="231">
        <v>2</v>
      </c>
      <c r="J42" s="211">
        <v>75</v>
      </c>
      <c r="K42" s="211">
        <v>10</v>
      </c>
      <c r="L42" s="143">
        <v>25</v>
      </c>
      <c r="M42" s="69">
        <v>4</v>
      </c>
      <c r="N42" s="173">
        <v>120</v>
      </c>
      <c r="O42" s="173">
        <v>16</v>
      </c>
      <c r="P42" s="69">
        <v>600</v>
      </c>
      <c r="Q42" s="69">
        <v>80</v>
      </c>
      <c r="R42" s="173">
        <v>30</v>
      </c>
      <c r="S42" s="173">
        <v>3</v>
      </c>
      <c r="T42" s="69">
        <f t="shared" ref="T42:U42" si="40">R42*5</f>
        <v>150</v>
      </c>
      <c r="U42" s="69">
        <f t="shared" si="40"/>
        <v>15</v>
      </c>
      <c r="V42" s="230">
        <v>25</v>
      </c>
      <c r="W42" s="211">
        <v>4</v>
      </c>
      <c r="X42" s="231">
        <v>125</v>
      </c>
      <c r="Y42" s="231">
        <v>20</v>
      </c>
      <c r="Z42" s="211">
        <v>625</v>
      </c>
      <c r="AA42" s="211">
        <v>100</v>
      </c>
      <c r="AB42" s="231">
        <v>25</v>
      </c>
      <c r="AC42" s="231">
        <v>4</v>
      </c>
      <c r="AD42" s="211">
        <v>125</v>
      </c>
      <c r="AE42" s="232">
        <v>20</v>
      </c>
      <c r="AF42" s="211">
        <v>25</v>
      </c>
      <c r="AG42" s="211">
        <v>4</v>
      </c>
      <c r="AH42" s="231">
        <v>125</v>
      </c>
      <c r="AI42" s="231">
        <v>20</v>
      </c>
      <c r="AJ42" s="69">
        <v>625</v>
      </c>
      <c r="AK42" s="69">
        <v>100</v>
      </c>
      <c r="AL42" s="231">
        <v>25</v>
      </c>
      <c r="AM42" s="231">
        <v>4</v>
      </c>
      <c r="AN42" s="211">
        <v>125</v>
      </c>
      <c r="AO42" s="232">
        <v>20</v>
      </c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</row>
    <row r="43" spans="1:52" ht="15.75" customHeight="1" x14ac:dyDescent="0.2">
      <c r="A43" s="229">
        <v>38</v>
      </c>
      <c r="B43" s="230">
        <v>23</v>
      </c>
      <c r="C43" s="211">
        <v>3</v>
      </c>
      <c r="D43" s="231">
        <v>92</v>
      </c>
      <c r="E43" s="231">
        <v>12</v>
      </c>
      <c r="F43" s="211">
        <v>460</v>
      </c>
      <c r="G43" s="211">
        <v>60</v>
      </c>
      <c r="H43" s="231">
        <v>18</v>
      </c>
      <c r="I43" s="231">
        <v>2</v>
      </c>
      <c r="J43" s="211">
        <v>90</v>
      </c>
      <c r="K43" s="211">
        <v>10</v>
      </c>
      <c r="L43" s="143">
        <v>30</v>
      </c>
      <c r="M43" s="69">
        <v>4</v>
      </c>
      <c r="N43" s="173">
        <v>120</v>
      </c>
      <c r="O43" s="173">
        <v>16</v>
      </c>
      <c r="P43" s="69">
        <v>600</v>
      </c>
      <c r="Q43" s="69">
        <v>80</v>
      </c>
      <c r="R43" s="173">
        <v>30</v>
      </c>
      <c r="S43" s="173">
        <v>3</v>
      </c>
      <c r="T43" s="69">
        <f t="shared" ref="T43:U43" si="41">R43*5</f>
        <v>150</v>
      </c>
      <c r="U43" s="69">
        <f t="shared" si="41"/>
        <v>15</v>
      </c>
      <c r="V43" s="233">
        <v>30</v>
      </c>
      <c r="W43" s="234">
        <v>4</v>
      </c>
      <c r="X43" s="235">
        <v>150</v>
      </c>
      <c r="Y43" s="235">
        <v>20</v>
      </c>
      <c r="Z43" s="234">
        <v>750</v>
      </c>
      <c r="AA43" s="234">
        <v>100</v>
      </c>
      <c r="AB43" s="235">
        <v>30</v>
      </c>
      <c r="AC43" s="235">
        <v>4</v>
      </c>
      <c r="AD43" s="234">
        <v>150</v>
      </c>
      <c r="AE43" s="236">
        <v>20</v>
      </c>
      <c r="AF43" s="237">
        <v>30</v>
      </c>
      <c r="AG43" s="237">
        <v>4</v>
      </c>
      <c r="AH43" s="238">
        <v>150</v>
      </c>
      <c r="AI43" s="238">
        <v>20</v>
      </c>
      <c r="AJ43" s="237">
        <v>750</v>
      </c>
      <c r="AK43" s="237">
        <v>100</v>
      </c>
      <c r="AL43" s="238">
        <v>30</v>
      </c>
      <c r="AM43" s="238">
        <v>4</v>
      </c>
      <c r="AN43" s="237">
        <v>150</v>
      </c>
      <c r="AO43" s="239">
        <v>20</v>
      </c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</row>
    <row r="44" spans="1:52" ht="15.75" customHeight="1" x14ac:dyDescent="0.2">
      <c r="A44" s="229">
        <v>39</v>
      </c>
      <c r="B44" s="230">
        <v>26</v>
      </c>
      <c r="C44" s="211">
        <v>4</v>
      </c>
      <c r="D44" s="231">
        <v>104</v>
      </c>
      <c r="E44" s="231">
        <v>16</v>
      </c>
      <c r="F44" s="211">
        <v>520</v>
      </c>
      <c r="G44" s="211">
        <v>80</v>
      </c>
      <c r="H44" s="231">
        <v>21</v>
      </c>
      <c r="I44" s="231">
        <v>3</v>
      </c>
      <c r="J44" s="211">
        <v>105</v>
      </c>
      <c r="K44" s="211">
        <v>15</v>
      </c>
      <c r="L44" s="143">
        <v>35</v>
      </c>
      <c r="M44" s="69">
        <v>5</v>
      </c>
      <c r="N44" s="173">
        <v>140</v>
      </c>
      <c r="O44" s="173">
        <v>20</v>
      </c>
      <c r="P44" s="69">
        <v>700</v>
      </c>
      <c r="Q44" s="69">
        <v>100</v>
      </c>
      <c r="R44" s="173">
        <v>30</v>
      </c>
      <c r="S44" s="173">
        <v>3</v>
      </c>
      <c r="T44" s="69">
        <f t="shared" ref="T44:U44" si="42">R44*5</f>
        <v>150</v>
      </c>
      <c r="U44" s="69">
        <f t="shared" si="42"/>
        <v>15</v>
      </c>
      <c r="V44" s="230">
        <v>35</v>
      </c>
      <c r="W44" s="211">
        <v>5</v>
      </c>
      <c r="X44" s="231">
        <v>175</v>
      </c>
      <c r="Y44" s="231">
        <v>25</v>
      </c>
      <c r="Z44" s="211">
        <v>875</v>
      </c>
      <c r="AA44" s="211">
        <v>125</v>
      </c>
      <c r="AB44" s="231">
        <v>35</v>
      </c>
      <c r="AC44" s="231">
        <v>5</v>
      </c>
      <c r="AD44" s="211">
        <v>175</v>
      </c>
      <c r="AE44" s="232">
        <v>25</v>
      </c>
      <c r="AF44" s="211">
        <v>35</v>
      </c>
      <c r="AG44" s="211">
        <v>5</v>
      </c>
      <c r="AH44" s="231">
        <v>175</v>
      </c>
      <c r="AI44" s="231">
        <v>25</v>
      </c>
      <c r="AJ44" s="211">
        <v>875</v>
      </c>
      <c r="AK44" s="211">
        <v>125</v>
      </c>
      <c r="AL44" s="231">
        <v>35</v>
      </c>
      <c r="AM44" s="231">
        <v>5</v>
      </c>
      <c r="AN44" s="211">
        <v>175</v>
      </c>
      <c r="AO44" s="232">
        <v>25</v>
      </c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</row>
    <row r="45" spans="1:52" ht="15.75" customHeight="1" x14ac:dyDescent="0.2">
      <c r="A45" s="229">
        <v>40</v>
      </c>
      <c r="B45" s="230">
        <v>30</v>
      </c>
      <c r="C45" s="211">
        <v>4</v>
      </c>
      <c r="D45" s="231">
        <v>120</v>
      </c>
      <c r="E45" s="231">
        <v>16</v>
      </c>
      <c r="F45" s="211">
        <v>600</v>
      </c>
      <c r="G45" s="211">
        <v>80</v>
      </c>
      <c r="H45" s="231">
        <v>24</v>
      </c>
      <c r="I45" s="231">
        <v>3</v>
      </c>
      <c r="J45" s="211">
        <v>120</v>
      </c>
      <c r="K45" s="211">
        <v>15</v>
      </c>
      <c r="L45" s="143">
        <v>40</v>
      </c>
      <c r="M45" s="69">
        <v>5</v>
      </c>
      <c r="N45" s="173">
        <v>160</v>
      </c>
      <c r="O45" s="173">
        <v>20</v>
      </c>
      <c r="P45" s="69">
        <v>800</v>
      </c>
      <c r="Q45" s="69">
        <v>100</v>
      </c>
      <c r="R45" s="173">
        <v>40</v>
      </c>
      <c r="S45" s="173">
        <v>4</v>
      </c>
      <c r="T45" s="69">
        <f t="shared" ref="T45:U45" si="43">R45*5</f>
        <v>200</v>
      </c>
      <c r="U45" s="69">
        <f t="shared" si="43"/>
        <v>20</v>
      </c>
      <c r="V45" s="230">
        <v>40</v>
      </c>
      <c r="W45" s="211">
        <v>5</v>
      </c>
      <c r="X45" s="231">
        <v>200</v>
      </c>
      <c r="Y45" s="231">
        <v>25</v>
      </c>
      <c r="Z45" s="211">
        <v>1000</v>
      </c>
      <c r="AA45" s="211">
        <v>125</v>
      </c>
      <c r="AB45" s="231">
        <v>40</v>
      </c>
      <c r="AC45" s="231">
        <v>5</v>
      </c>
      <c r="AD45" s="211">
        <v>200</v>
      </c>
      <c r="AE45" s="232">
        <v>25</v>
      </c>
      <c r="AF45" s="211">
        <v>40</v>
      </c>
      <c r="AG45" s="211">
        <v>5</v>
      </c>
      <c r="AH45" s="231">
        <v>200</v>
      </c>
      <c r="AI45" s="231">
        <v>25</v>
      </c>
      <c r="AJ45" s="211">
        <v>1000</v>
      </c>
      <c r="AK45" s="211">
        <v>125</v>
      </c>
      <c r="AL45" s="231">
        <v>40</v>
      </c>
      <c r="AM45" s="231">
        <v>5</v>
      </c>
      <c r="AN45" s="211">
        <v>200</v>
      </c>
      <c r="AO45" s="232">
        <v>25</v>
      </c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</row>
    <row r="46" spans="1:52" ht="15.75" customHeight="1" x14ac:dyDescent="0.2">
      <c r="A46" s="229">
        <v>41</v>
      </c>
      <c r="B46" s="143">
        <v>34</v>
      </c>
      <c r="C46" s="69">
        <v>4</v>
      </c>
      <c r="D46" s="231">
        <v>136</v>
      </c>
      <c r="E46" s="173">
        <v>16</v>
      </c>
      <c r="F46" s="211">
        <v>680</v>
      </c>
      <c r="G46" s="211">
        <v>80</v>
      </c>
      <c r="H46" s="231">
        <v>27</v>
      </c>
      <c r="I46" s="231">
        <v>3</v>
      </c>
      <c r="J46" s="211">
        <v>135</v>
      </c>
      <c r="K46" s="211">
        <v>15</v>
      </c>
      <c r="L46" s="143">
        <v>45</v>
      </c>
      <c r="M46" s="69">
        <v>5</v>
      </c>
      <c r="N46" s="173">
        <v>180</v>
      </c>
      <c r="O46" s="173">
        <v>20</v>
      </c>
      <c r="P46" s="69">
        <v>900</v>
      </c>
      <c r="Q46" s="69">
        <v>100</v>
      </c>
      <c r="R46" s="173">
        <v>40</v>
      </c>
      <c r="S46" s="173">
        <v>4</v>
      </c>
      <c r="T46" s="69">
        <f t="shared" ref="T46:U46" si="44">R46*5</f>
        <v>200</v>
      </c>
      <c r="U46" s="69">
        <f t="shared" si="44"/>
        <v>20</v>
      </c>
      <c r="V46" s="230">
        <v>45</v>
      </c>
      <c r="W46" s="211">
        <v>5</v>
      </c>
      <c r="X46" s="231">
        <v>225</v>
      </c>
      <c r="Y46" s="231">
        <v>25</v>
      </c>
      <c r="Z46" s="211">
        <v>1125</v>
      </c>
      <c r="AA46" s="211">
        <v>125</v>
      </c>
      <c r="AB46" s="231">
        <v>45</v>
      </c>
      <c r="AC46" s="231">
        <v>5</v>
      </c>
      <c r="AD46" s="211">
        <v>225</v>
      </c>
      <c r="AE46" s="232">
        <v>25</v>
      </c>
      <c r="AF46" s="211">
        <v>45</v>
      </c>
      <c r="AG46" s="211">
        <v>5</v>
      </c>
      <c r="AH46" s="231">
        <v>225</v>
      </c>
      <c r="AI46" s="231">
        <v>25</v>
      </c>
      <c r="AJ46" s="211">
        <v>1125</v>
      </c>
      <c r="AK46" s="211">
        <v>125</v>
      </c>
      <c r="AL46" s="231">
        <v>45</v>
      </c>
      <c r="AM46" s="231">
        <v>5</v>
      </c>
      <c r="AN46" s="211">
        <v>225</v>
      </c>
      <c r="AO46" s="232">
        <v>25</v>
      </c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</row>
    <row r="47" spans="1:52" ht="15.75" customHeight="1" x14ac:dyDescent="0.2">
      <c r="A47" s="229">
        <v>42</v>
      </c>
      <c r="B47" s="143">
        <v>34</v>
      </c>
      <c r="C47" s="69">
        <v>4</v>
      </c>
      <c r="D47" s="231">
        <v>136</v>
      </c>
      <c r="E47" s="173">
        <v>16</v>
      </c>
      <c r="F47" s="211">
        <v>680</v>
      </c>
      <c r="G47" s="211">
        <v>80</v>
      </c>
      <c r="H47" s="231">
        <v>27</v>
      </c>
      <c r="I47" s="231">
        <v>3</v>
      </c>
      <c r="J47" s="211">
        <v>135</v>
      </c>
      <c r="K47" s="211">
        <v>15</v>
      </c>
      <c r="L47" s="143">
        <v>45</v>
      </c>
      <c r="M47" s="69">
        <v>5</v>
      </c>
      <c r="N47" s="173">
        <v>180</v>
      </c>
      <c r="O47" s="173">
        <v>20</v>
      </c>
      <c r="P47" s="69">
        <v>900</v>
      </c>
      <c r="Q47" s="69">
        <v>100</v>
      </c>
      <c r="R47" s="173">
        <v>50</v>
      </c>
      <c r="S47" s="173">
        <v>5</v>
      </c>
      <c r="T47" s="69">
        <f t="shared" ref="T47:U47" si="45">R47*5</f>
        <v>250</v>
      </c>
      <c r="U47" s="69">
        <f t="shared" si="45"/>
        <v>25</v>
      </c>
      <c r="V47" s="230">
        <v>45</v>
      </c>
      <c r="W47" s="211">
        <v>5</v>
      </c>
      <c r="X47" s="231">
        <v>225</v>
      </c>
      <c r="Y47" s="231">
        <v>25</v>
      </c>
      <c r="Z47" s="211">
        <v>1125</v>
      </c>
      <c r="AA47" s="211">
        <v>125</v>
      </c>
      <c r="AB47" s="231">
        <v>45</v>
      </c>
      <c r="AC47" s="231">
        <v>5</v>
      </c>
      <c r="AD47" s="211">
        <v>225</v>
      </c>
      <c r="AE47" s="232">
        <v>25</v>
      </c>
      <c r="AF47" s="211">
        <v>45</v>
      </c>
      <c r="AG47" s="211">
        <v>5</v>
      </c>
      <c r="AH47" s="231">
        <v>225</v>
      </c>
      <c r="AI47" s="231">
        <v>25</v>
      </c>
      <c r="AJ47" s="211">
        <v>1125</v>
      </c>
      <c r="AK47" s="211">
        <v>125</v>
      </c>
      <c r="AL47" s="231">
        <v>45</v>
      </c>
      <c r="AM47" s="231">
        <v>5</v>
      </c>
      <c r="AN47" s="211">
        <v>225</v>
      </c>
      <c r="AO47" s="232">
        <v>25</v>
      </c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</row>
    <row r="48" spans="1:52" ht="15.75" customHeight="1" x14ac:dyDescent="0.2">
      <c r="A48" s="229">
        <v>43</v>
      </c>
      <c r="B48" s="230">
        <v>38</v>
      </c>
      <c r="C48" s="211">
        <v>5</v>
      </c>
      <c r="D48" s="231">
        <v>152</v>
      </c>
      <c r="E48" s="173">
        <v>20</v>
      </c>
      <c r="F48" s="211">
        <v>760</v>
      </c>
      <c r="G48" s="211">
        <v>100</v>
      </c>
      <c r="H48" s="231">
        <v>30</v>
      </c>
      <c r="I48" s="231">
        <v>4</v>
      </c>
      <c r="J48" s="211">
        <v>150</v>
      </c>
      <c r="K48" s="211">
        <v>20</v>
      </c>
      <c r="L48" s="143">
        <v>50</v>
      </c>
      <c r="M48" s="69">
        <v>6</v>
      </c>
      <c r="N48" s="173">
        <v>200</v>
      </c>
      <c r="O48" s="173">
        <v>24</v>
      </c>
      <c r="P48" s="69">
        <v>1000</v>
      </c>
      <c r="Q48" s="69">
        <v>120</v>
      </c>
      <c r="R48" s="173">
        <v>50</v>
      </c>
      <c r="S48" s="173">
        <v>5</v>
      </c>
      <c r="T48" s="69">
        <f t="shared" ref="T48:U48" si="46">R48*5</f>
        <v>250</v>
      </c>
      <c r="U48" s="69">
        <f t="shared" si="46"/>
        <v>25</v>
      </c>
      <c r="V48" s="230">
        <v>50</v>
      </c>
      <c r="W48" s="211">
        <v>6</v>
      </c>
      <c r="X48" s="231">
        <v>250</v>
      </c>
      <c r="Y48" s="231">
        <v>30</v>
      </c>
      <c r="Z48" s="211">
        <v>1250</v>
      </c>
      <c r="AA48" s="211">
        <v>150</v>
      </c>
      <c r="AB48" s="231">
        <v>50</v>
      </c>
      <c r="AC48" s="231">
        <v>6</v>
      </c>
      <c r="AD48" s="211">
        <v>250</v>
      </c>
      <c r="AE48" s="232">
        <v>30</v>
      </c>
      <c r="AF48" s="211">
        <v>50</v>
      </c>
      <c r="AG48" s="211">
        <v>6</v>
      </c>
      <c r="AH48" s="231">
        <v>250</v>
      </c>
      <c r="AI48" s="231">
        <v>30</v>
      </c>
      <c r="AJ48" s="211">
        <v>1250</v>
      </c>
      <c r="AK48" s="211">
        <v>150</v>
      </c>
      <c r="AL48" s="231">
        <v>50</v>
      </c>
      <c r="AM48" s="231">
        <v>6</v>
      </c>
      <c r="AN48" s="211">
        <v>250</v>
      </c>
      <c r="AO48" s="232">
        <v>30</v>
      </c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</row>
    <row r="49" spans="1:52" ht="15.75" customHeight="1" x14ac:dyDescent="0.2">
      <c r="A49" s="229">
        <v>44</v>
      </c>
      <c r="B49" s="230">
        <v>38</v>
      </c>
      <c r="C49" s="211">
        <v>5</v>
      </c>
      <c r="D49" s="231">
        <v>152</v>
      </c>
      <c r="E49" s="231">
        <v>20</v>
      </c>
      <c r="F49" s="211">
        <v>760</v>
      </c>
      <c r="G49" s="211">
        <v>100</v>
      </c>
      <c r="H49" s="231">
        <v>30</v>
      </c>
      <c r="I49" s="231">
        <v>4</v>
      </c>
      <c r="J49" s="211">
        <v>150</v>
      </c>
      <c r="K49" s="211">
        <v>20</v>
      </c>
      <c r="L49" s="143">
        <v>50</v>
      </c>
      <c r="M49" s="69">
        <v>6</v>
      </c>
      <c r="N49" s="173">
        <v>200</v>
      </c>
      <c r="O49" s="173">
        <v>24</v>
      </c>
      <c r="P49" s="69">
        <v>1000</v>
      </c>
      <c r="Q49" s="69">
        <v>120</v>
      </c>
      <c r="R49" s="173">
        <v>50</v>
      </c>
      <c r="S49" s="173">
        <v>5</v>
      </c>
      <c r="T49" s="69">
        <f t="shared" ref="T49:U49" si="47">R49*5</f>
        <v>250</v>
      </c>
      <c r="U49" s="69">
        <f t="shared" si="47"/>
        <v>25</v>
      </c>
      <c r="V49" s="230">
        <v>50</v>
      </c>
      <c r="W49" s="211">
        <v>6</v>
      </c>
      <c r="X49" s="231">
        <v>250</v>
      </c>
      <c r="Y49" s="231">
        <v>30</v>
      </c>
      <c r="Z49" s="211">
        <v>1250</v>
      </c>
      <c r="AA49" s="211">
        <v>150</v>
      </c>
      <c r="AB49" s="231">
        <v>50</v>
      </c>
      <c r="AC49" s="231">
        <v>6</v>
      </c>
      <c r="AD49" s="211">
        <v>250</v>
      </c>
      <c r="AE49" s="232">
        <v>30</v>
      </c>
      <c r="AF49" s="211">
        <v>50</v>
      </c>
      <c r="AG49" s="211">
        <v>6</v>
      </c>
      <c r="AH49" s="231">
        <v>250</v>
      </c>
      <c r="AI49" s="231">
        <v>30</v>
      </c>
      <c r="AJ49" s="211">
        <v>1250</v>
      </c>
      <c r="AK49" s="211">
        <v>150</v>
      </c>
      <c r="AL49" s="231">
        <v>50</v>
      </c>
      <c r="AM49" s="231">
        <v>6</v>
      </c>
      <c r="AN49" s="211">
        <v>250</v>
      </c>
      <c r="AO49" s="232">
        <v>30</v>
      </c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</row>
    <row r="50" spans="1:52" ht="15.75" customHeight="1" x14ac:dyDescent="0.2">
      <c r="A50" s="229">
        <v>45</v>
      </c>
      <c r="B50" s="230">
        <v>41</v>
      </c>
      <c r="C50" s="211">
        <v>5</v>
      </c>
      <c r="D50" s="231">
        <v>164</v>
      </c>
      <c r="E50" s="173">
        <v>20</v>
      </c>
      <c r="F50" s="211">
        <v>820</v>
      </c>
      <c r="G50" s="211">
        <v>100</v>
      </c>
      <c r="H50" s="231">
        <v>33</v>
      </c>
      <c r="I50" s="231">
        <v>4</v>
      </c>
      <c r="J50" s="211">
        <v>165</v>
      </c>
      <c r="K50" s="211">
        <v>20</v>
      </c>
      <c r="L50" s="143">
        <v>55</v>
      </c>
      <c r="M50" s="69">
        <v>7</v>
      </c>
      <c r="N50" s="173">
        <v>220</v>
      </c>
      <c r="O50" s="173">
        <v>28</v>
      </c>
      <c r="P50" s="69">
        <v>1100</v>
      </c>
      <c r="Q50" s="69">
        <v>140</v>
      </c>
      <c r="R50" s="173">
        <v>60</v>
      </c>
      <c r="S50" s="173">
        <v>6</v>
      </c>
      <c r="T50" s="69">
        <f t="shared" ref="T50:U50" si="48">R50*5</f>
        <v>300</v>
      </c>
      <c r="U50" s="69">
        <f t="shared" si="48"/>
        <v>30</v>
      </c>
      <c r="V50" s="230">
        <v>55</v>
      </c>
      <c r="W50" s="211">
        <v>7</v>
      </c>
      <c r="X50" s="231">
        <v>275</v>
      </c>
      <c r="Y50" s="231">
        <v>35</v>
      </c>
      <c r="Z50" s="211">
        <v>1375</v>
      </c>
      <c r="AA50" s="211">
        <v>175</v>
      </c>
      <c r="AB50" s="231">
        <v>55</v>
      </c>
      <c r="AC50" s="231">
        <v>7</v>
      </c>
      <c r="AD50" s="211">
        <v>275</v>
      </c>
      <c r="AE50" s="232">
        <v>35</v>
      </c>
      <c r="AF50" s="211">
        <v>55</v>
      </c>
      <c r="AG50" s="211">
        <v>7</v>
      </c>
      <c r="AH50" s="231">
        <v>275</v>
      </c>
      <c r="AI50" s="231">
        <v>35</v>
      </c>
      <c r="AJ50" s="211">
        <v>1375</v>
      </c>
      <c r="AK50" s="211">
        <v>175</v>
      </c>
      <c r="AL50" s="231">
        <v>55</v>
      </c>
      <c r="AM50" s="231">
        <v>7</v>
      </c>
      <c r="AN50" s="211">
        <v>275</v>
      </c>
      <c r="AO50" s="232">
        <v>35</v>
      </c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</row>
    <row r="51" spans="1:52" ht="15.75" customHeight="1" x14ac:dyDescent="0.2">
      <c r="A51" s="229">
        <v>46</v>
      </c>
      <c r="B51" s="230">
        <v>41</v>
      </c>
      <c r="C51" s="211">
        <v>5</v>
      </c>
      <c r="D51" s="231">
        <v>164</v>
      </c>
      <c r="E51" s="173">
        <v>20</v>
      </c>
      <c r="F51" s="211">
        <v>820</v>
      </c>
      <c r="G51" s="211">
        <v>100</v>
      </c>
      <c r="H51" s="231">
        <v>33</v>
      </c>
      <c r="I51" s="231">
        <v>4</v>
      </c>
      <c r="J51" s="211">
        <v>165</v>
      </c>
      <c r="K51" s="211">
        <v>20</v>
      </c>
      <c r="L51" s="143">
        <v>55</v>
      </c>
      <c r="M51" s="69">
        <v>7</v>
      </c>
      <c r="N51" s="173">
        <v>220</v>
      </c>
      <c r="O51" s="173">
        <v>28</v>
      </c>
      <c r="P51" s="69">
        <v>1100</v>
      </c>
      <c r="Q51" s="69">
        <v>140</v>
      </c>
      <c r="R51" s="173">
        <v>60</v>
      </c>
      <c r="S51" s="173">
        <v>6</v>
      </c>
      <c r="T51" s="69">
        <f t="shared" ref="T51:U51" si="49">R51*5</f>
        <v>300</v>
      </c>
      <c r="U51" s="69">
        <f t="shared" si="49"/>
        <v>30</v>
      </c>
      <c r="V51" s="230">
        <v>55</v>
      </c>
      <c r="W51" s="211">
        <v>7</v>
      </c>
      <c r="X51" s="231">
        <v>275</v>
      </c>
      <c r="Y51" s="231">
        <v>35</v>
      </c>
      <c r="Z51" s="211">
        <v>1375</v>
      </c>
      <c r="AA51" s="211">
        <v>175</v>
      </c>
      <c r="AB51" s="231">
        <v>55</v>
      </c>
      <c r="AC51" s="231">
        <v>7</v>
      </c>
      <c r="AD51" s="211">
        <v>275</v>
      </c>
      <c r="AE51" s="232">
        <v>35</v>
      </c>
      <c r="AF51" s="211">
        <v>55</v>
      </c>
      <c r="AG51" s="211">
        <v>7</v>
      </c>
      <c r="AH51" s="231">
        <v>275</v>
      </c>
      <c r="AI51" s="231">
        <v>35</v>
      </c>
      <c r="AJ51" s="211">
        <v>1375</v>
      </c>
      <c r="AK51" s="211">
        <v>175</v>
      </c>
      <c r="AL51" s="231">
        <v>55</v>
      </c>
      <c r="AM51" s="231">
        <v>7</v>
      </c>
      <c r="AN51" s="211">
        <v>275</v>
      </c>
      <c r="AO51" s="232">
        <v>35</v>
      </c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</row>
    <row r="52" spans="1:52" ht="15.75" customHeight="1" x14ac:dyDescent="0.2">
      <c r="A52" s="229">
        <v>47</v>
      </c>
      <c r="B52" s="230">
        <v>45</v>
      </c>
      <c r="C52" s="211">
        <v>6</v>
      </c>
      <c r="D52" s="231">
        <v>180</v>
      </c>
      <c r="E52" s="173">
        <v>24</v>
      </c>
      <c r="F52" s="211">
        <v>900</v>
      </c>
      <c r="G52" s="211">
        <v>120</v>
      </c>
      <c r="H52" s="231">
        <v>36</v>
      </c>
      <c r="I52" s="231">
        <v>4</v>
      </c>
      <c r="J52" s="211">
        <v>180</v>
      </c>
      <c r="K52" s="211">
        <v>20</v>
      </c>
      <c r="L52" s="143">
        <v>60</v>
      </c>
      <c r="M52" s="69">
        <v>8</v>
      </c>
      <c r="N52" s="173">
        <v>240</v>
      </c>
      <c r="O52" s="173">
        <v>32</v>
      </c>
      <c r="P52" s="69">
        <v>1200</v>
      </c>
      <c r="Q52" s="69">
        <v>160</v>
      </c>
      <c r="R52" s="173">
        <v>60</v>
      </c>
      <c r="S52" s="173">
        <v>6</v>
      </c>
      <c r="T52" s="69">
        <f t="shared" ref="T52:U52" si="50">R52*5</f>
        <v>300</v>
      </c>
      <c r="U52" s="69">
        <f t="shared" si="50"/>
        <v>30</v>
      </c>
      <c r="V52" s="230">
        <v>60</v>
      </c>
      <c r="W52" s="211">
        <v>8</v>
      </c>
      <c r="X52" s="231">
        <v>300</v>
      </c>
      <c r="Y52" s="231">
        <v>40</v>
      </c>
      <c r="Z52" s="211">
        <v>1500</v>
      </c>
      <c r="AA52" s="211">
        <v>200</v>
      </c>
      <c r="AB52" s="231">
        <v>60</v>
      </c>
      <c r="AC52" s="231">
        <v>8</v>
      </c>
      <c r="AD52" s="211">
        <v>300</v>
      </c>
      <c r="AE52" s="232">
        <v>40</v>
      </c>
      <c r="AF52" s="211">
        <v>60</v>
      </c>
      <c r="AG52" s="211">
        <v>8</v>
      </c>
      <c r="AH52" s="231">
        <v>300</v>
      </c>
      <c r="AI52" s="231">
        <v>40</v>
      </c>
      <c r="AJ52" s="211">
        <v>1500</v>
      </c>
      <c r="AK52" s="211">
        <v>200</v>
      </c>
      <c r="AL52" s="231">
        <v>60</v>
      </c>
      <c r="AM52" s="231">
        <v>8</v>
      </c>
      <c r="AN52" s="211">
        <v>300</v>
      </c>
      <c r="AO52" s="232">
        <v>40</v>
      </c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</row>
    <row r="53" spans="1:52" ht="15.75" customHeight="1" x14ac:dyDescent="0.2">
      <c r="A53" s="229">
        <v>48</v>
      </c>
      <c r="B53" s="230">
        <v>45</v>
      </c>
      <c r="C53" s="211">
        <v>6</v>
      </c>
      <c r="D53" s="231">
        <v>180</v>
      </c>
      <c r="E53" s="173">
        <v>24</v>
      </c>
      <c r="F53" s="211">
        <v>900</v>
      </c>
      <c r="G53" s="211">
        <v>120</v>
      </c>
      <c r="H53" s="231">
        <v>36</v>
      </c>
      <c r="I53" s="231">
        <v>5</v>
      </c>
      <c r="J53" s="211">
        <v>180</v>
      </c>
      <c r="K53" s="211">
        <v>25</v>
      </c>
      <c r="L53" s="143">
        <v>60</v>
      </c>
      <c r="M53" s="69">
        <v>8</v>
      </c>
      <c r="N53" s="173">
        <v>240</v>
      </c>
      <c r="O53" s="173">
        <v>32</v>
      </c>
      <c r="P53" s="69">
        <v>1200</v>
      </c>
      <c r="Q53" s="69">
        <v>160</v>
      </c>
      <c r="R53" s="173">
        <v>60</v>
      </c>
      <c r="S53" s="173">
        <v>6</v>
      </c>
      <c r="T53" s="69">
        <f t="shared" ref="T53:U53" si="51">R53*5</f>
        <v>300</v>
      </c>
      <c r="U53" s="69">
        <f t="shared" si="51"/>
        <v>30</v>
      </c>
      <c r="V53" s="230">
        <v>60</v>
      </c>
      <c r="W53" s="211">
        <v>8</v>
      </c>
      <c r="X53" s="231">
        <v>300</v>
      </c>
      <c r="Y53" s="231">
        <v>40</v>
      </c>
      <c r="Z53" s="211">
        <v>1500</v>
      </c>
      <c r="AA53" s="211">
        <v>200</v>
      </c>
      <c r="AB53" s="231">
        <v>60</v>
      </c>
      <c r="AC53" s="231">
        <v>8</v>
      </c>
      <c r="AD53" s="211">
        <v>300</v>
      </c>
      <c r="AE53" s="232">
        <v>40</v>
      </c>
      <c r="AF53" s="211">
        <v>60</v>
      </c>
      <c r="AG53" s="211">
        <v>8</v>
      </c>
      <c r="AH53" s="231">
        <v>300</v>
      </c>
      <c r="AI53" s="231">
        <v>40</v>
      </c>
      <c r="AJ53" s="211">
        <v>1500</v>
      </c>
      <c r="AK53" s="211">
        <v>200</v>
      </c>
      <c r="AL53" s="231">
        <v>60</v>
      </c>
      <c r="AM53" s="231">
        <v>8</v>
      </c>
      <c r="AN53" s="211">
        <v>300</v>
      </c>
      <c r="AO53" s="232">
        <v>40</v>
      </c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</row>
    <row r="54" spans="1:52" ht="15.75" customHeight="1" x14ac:dyDescent="0.2">
      <c r="A54" s="229">
        <v>49</v>
      </c>
      <c r="B54" s="230">
        <v>45</v>
      </c>
      <c r="C54" s="211">
        <v>6</v>
      </c>
      <c r="D54" s="231">
        <v>180</v>
      </c>
      <c r="E54" s="173">
        <v>24</v>
      </c>
      <c r="F54" s="211">
        <v>900</v>
      </c>
      <c r="G54" s="211">
        <v>120</v>
      </c>
      <c r="H54" s="231">
        <v>36</v>
      </c>
      <c r="I54" s="231">
        <v>5</v>
      </c>
      <c r="J54" s="211">
        <v>180</v>
      </c>
      <c r="K54" s="211">
        <v>25</v>
      </c>
      <c r="L54" s="143">
        <v>60</v>
      </c>
      <c r="M54" s="69">
        <v>8</v>
      </c>
      <c r="N54" s="173">
        <v>240</v>
      </c>
      <c r="O54" s="173">
        <v>32</v>
      </c>
      <c r="P54" s="69">
        <v>1200</v>
      </c>
      <c r="Q54" s="69">
        <v>160</v>
      </c>
      <c r="R54" s="173">
        <v>60</v>
      </c>
      <c r="S54" s="173">
        <v>6</v>
      </c>
      <c r="T54" s="69">
        <f t="shared" ref="T54:U54" si="52">R54*5</f>
        <v>300</v>
      </c>
      <c r="U54" s="69">
        <f t="shared" si="52"/>
        <v>30</v>
      </c>
      <c r="V54" s="230">
        <v>60</v>
      </c>
      <c r="W54" s="211">
        <v>8</v>
      </c>
      <c r="X54" s="231">
        <v>300</v>
      </c>
      <c r="Y54" s="231">
        <v>40</v>
      </c>
      <c r="Z54" s="211">
        <v>1500</v>
      </c>
      <c r="AA54" s="211">
        <v>200</v>
      </c>
      <c r="AB54" s="231">
        <v>60</v>
      </c>
      <c r="AC54" s="231">
        <v>8</v>
      </c>
      <c r="AD54" s="211">
        <v>300</v>
      </c>
      <c r="AE54" s="232">
        <v>40</v>
      </c>
      <c r="AF54" s="211">
        <v>60</v>
      </c>
      <c r="AG54" s="211">
        <v>8</v>
      </c>
      <c r="AH54" s="231">
        <v>300</v>
      </c>
      <c r="AI54" s="231">
        <v>40</v>
      </c>
      <c r="AJ54" s="211">
        <v>1500</v>
      </c>
      <c r="AK54" s="211">
        <v>200</v>
      </c>
      <c r="AL54" s="231">
        <v>60</v>
      </c>
      <c r="AM54" s="231">
        <v>8</v>
      </c>
      <c r="AN54" s="211">
        <v>300</v>
      </c>
      <c r="AO54" s="232">
        <v>40</v>
      </c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</row>
    <row r="55" spans="1:52" ht="15.75" customHeight="1" x14ac:dyDescent="0.2">
      <c r="A55" s="229">
        <v>50</v>
      </c>
      <c r="B55" s="230">
        <v>53</v>
      </c>
      <c r="C55" s="211">
        <v>6</v>
      </c>
      <c r="D55" s="231">
        <v>212</v>
      </c>
      <c r="E55" s="231">
        <v>24</v>
      </c>
      <c r="F55" s="211">
        <v>1060</v>
      </c>
      <c r="G55" s="211">
        <v>120</v>
      </c>
      <c r="H55" s="231">
        <v>42</v>
      </c>
      <c r="I55" s="231">
        <v>5</v>
      </c>
      <c r="J55" s="211">
        <v>210</v>
      </c>
      <c r="K55" s="211">
        <v>25</v>
      </c>
      <c r="L55" s="143">
        <v>70</v>
      </c>
      <c r="M55" s="69">
        <v>8</v>
      </c>
      <c r="N55" s="173">
        <v>280</v>
      </c>
      <c r="O55" s="173">
        <v>32</v>
      </c>
      <c r="P55" s="69">
        <v>1400</v>
      </c>
      <c r="Q55" s="69">
        <v>160</v>
      </c>
      <c r="R55" s="173">
        <v>65</v>
      </c>
      <c r="S55" s="173">
        <v>6</v>
      </c>
      <c r="T55" s="69">
        <f t="shared" ref="T55:U55" si="53">R55*5</f>
        <v>325</v>
      </c>
      <c r="U55" s="69">
        <f t="shared" si="53"/>
        <v>30</v>
      </c>
      <c r="V55" s="230">
        <v>70</v>
      </c>
      <c r="W55" s="211">
        <v>8</v>
      </c>
      <c r="X55" s="231">
        <v>350</v>
      </c>
      <c r="Y55" s="231">
        <v>40</v>
      </c>
      <c r="Z55" s="211">
        <v>1750</v>
      </c>
      <c r="AA55" s="211">
        <v>200</v>
      </c>
      <c r="AB55" s="231">
        <v>70</v>
      </c>
      <c r="AC55" s="231">
        <v>8</v>
      </c>
      <c r="AD55" s="211">
        <v>350</v>
      </c>
      <c r="AE55" s="232">
        <v>40</v>
      </c>
      <c r="AF55" s="211">
        <v>70</v>
      </c>
      <c r="AG55" s="211">
        <v>8</v>
      </c>
      <c r="AH55" s="231">
        <v>350</v>
      </c>
      <c r="AI55" s="231">
        <v>40</v>
      </c>
      <c r="AJ55" s="211">
        <v>1750</v>
      </c>
      <c r="AK55" s="211">
        <v>200</v>
      </c>
      <c r="AL55" s="231">
        <v>70</v>
      </c>
      <c r="AM55" s="231">
        <v>8</v>
      </c>
      <c r="AN55" s="211">
        <v>350</v>
      </c>
      <c r="AO55" s="232">
        <v>40</v>
      </c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</row>
    <row r="56" spans="1:52" ht="15.75" customHeight="1" x14ac:dyDescent="0.2">
      <c r="A56" s="229">
        <v>51</v>
      </c>
      <c r="B56" s="230">
        <v>53</v>
      </c>
      <c r="C56" s="211">
        <v>7</v>
      </c>
      <c r="D56" s="231">
        <v>212</v>
      </c>
      <c r="E56" s="173">
        <v>28</v>
      </c>
      <c r="F56" s="211">
        <v>1060</v>
      </c>
      <c r="G56" s="211">
        <v>140</v>
      </c>
      <c r="H56" s="231">
        <v>42</v>
      </c>
      <c r="I56" s="231">
        <v>5</v>
      </c>
      <c r="J56" s="211">
        <v>210</v>
      </c>
      <c r="K56" s="211">
        <v>25</v>
      </c>
      <c r="L56" s="143">
        <v>70</v>
      </c>
      <c r="M56" s="69">
        <v>9</v>
      </c>
      <c r="N56" s="173">
        <v>280</v>
      </c>
      <c r="O56" s="173">
        <v>36</v>
      </c>
      <c r="P56" s="69">
        <v>1400</v>
      </c>
      <c r="Q56" s="69">
        <v>180</v>
      </c>
      <c r="R56" s="173">
        <v>65</v>
      </c>
      <c r="S56" s="173">
        <v>6</v>
      </c>
      <c r="T56" s="69">
        <f t="shared" ref="T56:U56" si="54">R56*5</f>
        <v>325</v>
      </c>
      <c r="U56" s="69">
        <f t="shared" si="54"/>
        <v>30</v>
      </c>
      <c r="V56" s="230">
        <v>70</v>
      </c>
      <c r="W56" s="211">
        <v>9</v>
      </c>
      <c r="X56" s="231">
        <v>350</v>
      </c>
      <c r="Y56" s="231">
        <v>45</v>
      </c>
      <c r="Z56" s="211">
        <v>1750</v>
      </c>
      <c r="AA56" s="211">
        <v>225</v>
      </c>
      <c r="AB56" s="231">
        <v>70</v>
      </c>
      <c r="AC56" s="231">
        <v>9</v>
      </c>
      <c r="AD56" s="211">
        <v>350</v>
      </c>
      <c r="AE56" s="232">
        <v>45</v>
      </c>
      <c r="AF56" s="211">
        <v>70</v>
      </c>
      <c r="AG56" s="211">
        <v>9</v>
      </c>
      <c r="AH56" s="231">
        <v>350</v>
      </c>
      <c r="AI56" s="231">
        <v>45</v>
      </c>
      <c r="AJ56" s="211">
        <v>1750</v>
      </c>
      <c r="AK56" s="211">
        <v>225</v>
      </c>
      <c r="AL56" s="173">
        <v>70</v>
      </c>
      <c r="AM56" s="173">
        <v>9</v>
      </c>
      <c r="AN56" s="211">
        <v>350</v>
      </c>
      <c r="AO56" s="232">
        <v>45</v>
      </c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</row>
    <row r="57" spans="1:52" ht="15.75" customHeight="1" x14ac:dyDescent="0.2">
      <c r="A57" s="229">
        <v>52</v>
      </c>
      <c r="B57" s="230">
        <v>61</v>
      </c>
      <c r="C57" s="211">
        <v>7</v>
      </c>
      <c r="D57" s="231">
        <v>244</v>
      </c>
      <c r="E57" s="231">
        <v>28</v>
      </c>
      <c r="F57" s="211">
        <v>1220</v>
      </c>
      <c r="G57" s="211">
        <v>140</v>
      </c>
      <c r="H57" s="231">
        <v>50</v>
      </c>
      <c r="I57" s="231">
        <v>6</v>
      </c>
      <c r="J57" s="211">
        <v>250</v>
      </c>
      <c r="K57" s="211">
        <v>30</v>
      </c>
      <c r="L57" s="143">
        <v>80</v>
      </c>
      <c r="M57" s="69">
        <v>9</v>
      </c>
      <c r="N57" s="173">
        <v>320</v>
      </c>
      <c r="O57" s="173">
        <v>36</v>
      </c>
      <c r="P57" s="69">
        <v>1600</v>
      </c>
      <c r="Q57" s="69">
        <v>180</v>
      </c>
      <c r="R57" s="173">
        <v>65</v>
      </c>
      <c r="S57" s="173">
        <v>6</v>
      </c>
      <c r="T57" s="69">
        <f t="shared" ref="T57:U57" si="55">R57*5</f>
        <v>325</v>
      </c>
      <c r="U57" s="69">
        <f t="shared" si="55"/>
        <v>30</v>
      </c>
      <c r="V57" s="230">
        <v>80</v>
      </c>
      <c r="W57" s="211">
        <v>9</v>
      </c>
      <c r="X57" s="231">
        <v>400</v>
      </c>
      <c r="Y57" s="231">
        <v>45</v>
      </c>
      <c r="Z57" s="211">
        <v>2000</v>
      </c>
      <c r="AA57" s="211">
        <v>225</v>
      </c>
      <c r="AB57" s="231">
        <v>80</v>
      </c>
      <c r="AC57" s="231">
        <v>9</v>
      </c>
      <c r="AD57" s="211">
        <v>400</v>
      </c>
      <c r="AE57" s="232">
        <v>45</v>
      </c>
      <c r="AF57" s="211">
        <v>80</v>
      </c>
      <c r="AG57" s="211">
        <v>9</v>
      </c>
      <c r="AH57" s="231">
        <v>400</v>
      </c>
      <c r="AI57" s="231">
        <v>45</v>
      </c>
      <c r="AJ57" s="211">
        <v>2000</v>
      </c>
      <c r="AK57" s="211">
        <v>225</v>
      </c>
      <c r="AL57" s="231">
        <v>80</v>
      </c>
      <c r="AM57" s="231">
        <v>9</v>
      </c>
      <c r="AN57" s="211">
        <v>400</v>
      </c>
      <c r="AO57" s="232">
        <v>45</v>
      </c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</row>
    <row r="58" spans="1:52" ht="15.75" customHeight="1" x14ac:dyDescent="0.2">
      <c r="A58" s="229">
        <v>53</v>
      </c>
      <c r="B58" s="230">
        <v>68</v>
      </c>
      <c r="C58" s="211">
        <v>7</v>
      </c>
      <c r="D58" s="231">
        <v>272</v>
      </c>
      <c r="E58" s="173">
        <v>28</v>
      </c>
      <c r="F58" s="211">
        <v>1360</v>
      </c>
      <c r="G58" s="211">
        <v>140</v>
      </c>
      <c r="H58" s="231">
        <v>54</v>
      </c>
      <c r="I58" s="231">
        <v>6</v>
      </c>
      <c r="J58" s="211">
        <v>270</v>
      </c>
      <c r="K58" s="211">
        <v>30</v>
      </c>
      <c r="L58" s="143">
        <v>90</v>
      </c>
      <c r="M58" s="69">
        <v>10</v>
      </c>
      <c r="N58" s="173">
        <v>360</v>
      </c>
      <c r="O58" s="173">
        <v>40</v>
      </c>
      <c r="P58" s="69">
        <v>1800</v>
      </c>
      <c r="Q58" s="69">
        <v>200</v>
      </c>
      <c r="R58" s="173">
        <v>70</v>
      </c>
      <c r="S58" s="173">
        <v>7</v>
      </c>
      <c r="T58" s="69">
        <f t="shared" ref="T58:U58" si="56">R58*5</f>
        <v>350</v>
      </c>
      <c r="U58" s="69">
        <f t="shared" si="56"/>
        <v>35</v>
      </c>
      <c r="V58" s="230">
        <v>90</v>
      </c>
      <c r="W58" s="211">
        <v>10</v>
      </c>
      <c r="X58" s="231">
        <v>450</v>
      </c>
      <c r="Y58" s="231">
        <v>50</v>
      </c>
      <c r="Z58" s="211">
        <v>2250</v>
      </c>
      <c r="AA58" s="211">
        <v>250</v>
      </c>
      <c r="AB58" s="231">
        <v>90</v>
      </c>
      <c r="AC58" s="231">
        <v>10</v>
      </c>
      <c r="AD58" s="211">
        <v>450</v>
      </c>
      <c r="AE58" s="232">
        <v>50</v>
      </c>
      <c r="AF58" s="211">
        <v>90</v>
      </c>
      <c r="AG58" s="211">
        <v>10</v>
      </c>
      <c r="AH58" s="231">
        <v>450</v>
      </c>
      <c r="AI58" s="231">
        <v>50</v>
      </c>
      <c r="AJ58" s="211">
        <v>2250</v>
      </c>
      <c r="AK58" s="211">
        <v>250</v>
      </c>
      <c r="AL58" s="231">
        <v>90</v>
      </c>
      <c r="AM58" s="231">
        <v>10</v>
      </c>
      <c r="AN58" s="211">
        <v>450</v>
      </c>
      <c r="AO58" s="232">
        <v>50</v>
      </c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</row>
    <row r="59" spans="1:52" ht="15.75" customHeight="1" x14ac:dyDescent="0.2">
      <c r="A59" s="229">
        <v>54</v>
      </c>
      <c r="B59" s="230">
        <v>68</v>
      </c>
      <c r="C59" s="211">
        <v>7</v>
      </c>
      <c r="D59" s="231">
        <v>272</v>
      </c>
      <c r="E59" s="173">
        <v>28</v>
      </c>
      <c r="F59" s="211">
        <v>1360</v>
      </c>
      <c r="G59" s="211">
        <v>140</v>
      </c>
      <c r="H59" s="231">
        <v>54</v>
      </c>
      <c r="I59" s="231">
        <v>6</v>
      </c>
      <c r="J59" s="211">
        <v>270</v>
      </c>
      <c r="K59" s="211">
        <v>30</v>
      </c>
      <c r="L59" s="143">
        <v>90</v>
      </c>
      <c r="M59" s="69">
        <v>10</v>
      </c>
      <c r="N59" s="173">
        <v>360</v>
      </c>
      <c r="O59" s="173">
        <v>40</v>
      </c>
      <c r="P59" s="69">
        <v>1800</v>
      </c>
      <c r="Q59" s="69">
        <v>200</v>
      </c>
      <c r="R59" s="173">
        <v>70</v>
      </c>
      <c r="S59" s="173">
        <v>7</v>
      </c>
      <c r="T59" s="69">
        <f t="shared" ref="T59:U59" si="57">R59*5</f>
        <v>350</v>
      </c>
      <c r="U59" s="69">
        <f t="shared" si="57"/>
        <v>35</v>
      </c>
      <c r="V59" s="230">
        <v>90</v>
      </c>
      <c r="W59" s="211">
        <v>10</v>
      </c>
      <c r="X59" s="231">
        <v>450</v>
      </c>
      <c r="Y59" s="231">
        <v>50</v>
      </c>
      <c r="Z59" s="211">
        <v>2250</v>
      </c>
      <c r="AA59" s="211">
        <v>250</v>
      </c>
      <c r="AB59" s="231">
        <v>90</v>
      </c>
      <c r="AC59" s="231">
        <v>10</v>
      </c>
      <c r="AD59" s="211">
        <v>450</v>
      </c>
      <c r="AE59" s="232">
        <v>50</v>
      </c>
      <c r="AF59" s="211">
        <v>90</v>
      </c>
      <c r="AG59" s="211">
        <v>10</v>
      </c>
      <c r="AH59" s="231">
        <v>450</v>
      </c>
      <c r="AI59" s="231">
        <v>50</v>
      </c>
      <c r="AJ59" s="211">
        <v>2250</v>
      </c>
      <c r="AK59" s="211">
        <v>250</v>
      </c>
      <c r="AL59" s="231">
        <v>90</v>
      </c>
      <c r="AM59" s="231">
        <v>10</v>
      </c>
      <c r="AN59" s="211">
        <v>450</v>
      </c>
      <c r="AO59" s="232">
        <v>50</v>
      </c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</row>
    <row r="60" spans="1:52" ht="15.75" customHeight="1" x14ac:dyDescent="0.2">
      <c r="A60" s="229">
        <v>55</v>
      </c>
      <c r="B60" s="230">
        <v>80</v>
      </c>
      <c r="C60" s="211">
        <v>8</v>
      </c>
      <c r="D60" s="231">
        <v>320</v>
      </c>
      <c r="E60" s="173">
        <v>32</v>
      </c>
      <c r="F60" s="211">
        <v>1600</v>
      </c>
      <c r="G60" s="211">
        <v>160</v>
      </c>
      <c r="H60" s="231">
        <v>64</v>
      </c>
      <c r="I60" s="231">
        <v>6</v>
      </c>
      <c r="J60" s="211">
        <v>320</v>
      </c>
      <c r="K60" s="211">
        <v>30</v>
      </c>
      <c r="L60" s="143">
        <v>105</v>
      </c>
      <c r="M60" s="69">
        <v>11</v>
      </c>
      <c r="N60" s="173">
        <v>420</v>
      </c>
      <c r="O60" s="173">
        <v>44</v>
      </c>
      <c r="P60" s="69">
        <v>2100</v>
      </c>
      <c r="Q60" s="69">
        <v>220</v>
      </c>
      <c r="R60" s="173">
        <v>70</v>
      </c>
      <c r="S60" s="173">
        <v>7</v>
      </c>
      <c r="T60" s="69">
        <f t="shared" ref="T60:U60" si="58">R60*5</f>
        <v>350</v>
      </c>
      <c r="U60" s="69">
        <f t="shared" si="58"/>
        <v>35</v>
      </c>
      <c r="V60" s="230">
        <v>105</v>
      </c>
      <c r="W60" s="211">
        <v>11</v>
      </c>
      <c r="X60" s="231">
        <v>525</v>
      </c>
      <c r="Y60" s="231">
        <v>55</v>
      </c>
      <c r="Z60" s="211">
        <v>2625</v>
      </c>
      <c r="AA60" s="211">
        <v>275</v>
      </c>
      <c r="AB60" s="231">
        <v>105</v>
      </c>
      <c r="AC60" s="231">
        <v>11</v>
      </c>
      <c r="AD60" s="211">
        <v>525</v>
      </c>
      <c r="AE60" s="232">
        <v>55</v>
      </c>
      <c r="AF60" s="211">
        <v>105</v>
      </c>
      <c r="AG60" s="211">
        <v>11</v>
      </c>
      <c r="AH60" s="231">
        <v>525</v>
      </c>
      <c r="AI60" s="231">
        <v>55</v>
      </c>
      <c r="AJ60" s="211">
        <v>2625</v>
      </c>
      <c r="AK60" s="211">
        <v>275</v>
      </c>
      <c r="AL60" s="231">
        <v>105</v>
      </c>
      <c r="AM60" s="231">
        <v>11</v>
      </c>
      <c r="AN60" s="211">
        <v>525</v>
      </c>
      <c r="AO60" s="232">
        <v>55</v>
      </c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</row>
    <row r="61" spans="1:52" ht="15.75" customHeight="1" x14ac:dyDescent="0.2">
      <c r="A61" s="229">
        <v>56</v>
      </c>
      <c r="B61" s="230">
        <v>80</v>
      </c>
      <c r="C61" s="211">
        <v>8</v>
      </c>
      <c r="D61" s="231">
        <v>320</v>
      </c>
      <c r="E61" s="173">
        <v>32</v>
      </c>
      <c r="F61" s="211">
        <v>1600</v>
      </c>
      <c r="G61" s="211">
        <v>160</v>
      </c>
      <c r="H61" s="231"/>
      <c r="I61" s="231"/>
      <c r="J61" s="211"/>
      <c r="K61" s="211"/>
      <c r="L61" s="143">
        <v>105</v>
      </c>
      <c r="M61" s="69">
        <v>11</v>
      </c>
      <c r="N61" s="173">
        <v>420</v>
      </c>
      <c r="O61" s="173">
        <v>44</v>
      </c>
      <c r="P61" s="69">
        <v>2100</v>
      </c>
      <c r="Q61" s="69">
        <v>220</v>
      </c>
      <c r="R61" s="173">
        <v>80</v>
      </c>
      <c r="S61" s="173">
        <v>8</v>
      </c>
      <c r="T61" s="69">
        <f t="shared" ref="T61:U61" si="59">R61*5</f>
        <v>400</v>
      </c>
      <c r="U61" s="69">
        <f t="shared" si="59"/>
        <v>40</v>
      </c>
      <c r="V61" s="230">
        <v>105</v>
      </c>
      <c r="W61" s="211">
        <v>11</v>
      </c>
      <c r="X61" s="231">
        <v>525</v>
      </c>
      <c r="Y61" s="231">
        <v>55</v>
      </c>
      <c r="Z61" s="211">
        <v>2625</v>
      </c>
      <c r="AA61" s="211">
        <v>275</v>
      </c>
      <c r="AB61" s="231">
        <v>105</v>
      </c>
      <c r="AC61" s="231">
        <v>11</v>
      </c>
      <c r="AD61" s="211">
        <v>525</v>
      </c>
      <c r="AE61" s="232">
        <v>55</v>
      </c>
      <c r="AF61" s="211">
        <v>105</v>
      </c>
      <c r="AG61" s="211">
        <v>11</v>
      </c>
      <c r="AH61" s="231">
        <v>525</v>
      </c>
      <c r="AI61" s="231">
        <v>55</v>
      </c>
      <c r="AJ61" s="211">
        <v>2625</v>
      </c>
      <c r="AK61" s="211">
        <v>275</v>
      </c>
      <c r="AL61" s="231">
        <v>105</v>
      </c>
      <c r="AM61" s="231">
        <v>11</v>
      </c>
      <c r="AN61" s="211">
        <v>525</v>
      </c>
      <c r="AO61" s="232">
        <v>55</v>
      </c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</row>
    <row r="62" spans="1:52" ht="15.75" customHeight="1" x14ac:dyDescent="0.2">
      <c r="A62" s="229">
        <v>57</v>
      </c>
      <c r="B62" s="230">
        <v>90</v>
      </c>
      <c r="C62" s="211">
        <v>9</v>
      </c>
      <c r="D62" s="231">
        <v>360</v>
      </c>
      <c r="E62" s="173">
        <v>36</v>
      </c>
      <c r="F62" s="211">
        <v>1800</v>
      </c>
      <c r="G62" s="211">
        <v>180</v>
      </c>
      <c r="H62" s="231"/>
      <c r="I62" s="231"/>
      <c r="J62" s="211"/>
      <c r="K62" s="211"/>
      <c r="L62" s="143">
        <v>120</v>
      </c>
      <c r="M62" s="69">
        <v>12</v>
      </c>
      <c r="N62" s="173">
        <v>480</v>
      </c>
      <c r="O62" s="173">
        <v>48</v>
      </c>
      <c r="P62" s="69">
        <v>2400</v>
      </c>
      <c r="Q62" s="69">
        <v>240</v>
      </c>
      <c r="R62" s="173">
        <v>80</v>
      </c>
      <c r="S62" s="173">
        <v>8</v>
      </c>
      <c r="T62" s="69">
        <f t="shared" ref="T62:U62" si="60">R62*5</f>
        <v>400</v>
      </c>
      <c r="U62" s="69">
        <f t="shared" si="60"/>
        <v>40</v>
      </c>
      <c r="V62" s="230">
        <v>120</v>
      </c>
      <c r="W62" s="211">
        <v>12</v>
      </c>
      <c r="X62" s="231">
        <v>600</v>
      </c>
      <c r="Y62" s="231">
        <v>60</v>
      </c>
      <c r="Z62" s="211">
        <v>3000</v>
      </c>
      <c r="AA62" s="211">
        <v>300</v>
      </c>
      <c r="AB62" s="231">
        <v>120</v>
      </c>
      <c r="AC62" s="231">
        <v>12</v>
      </c>
      <c r="AD62" s="211">
        <v>600</v>
      </c>
      <c r="AE62" s="232">
        <v>60</v>
      </c>
      <c r="AF62" s="211">
        <v>120</v>
      </c>
      <c r="AG62" s="211">
        <v>12</v>
      </c>
      <c r="AH62" s="231">
        <v>600</v>
      </c>
      <c r="AI62" s="231">
        <v>60</v>
      </c>
      <c r="AJ62" s="211">
        <v>3000</v>
      </c>
      <c r="AK62" s="211">
        <v>300</v>
      </c>
      <c r="AL62" s="231">
        <v>120</v>
      </c>
      <c r="AM62" s="231">
        <v>12</v>
      </c>
      <c r="AN62" s="211">
        <v>600</v>
      </c>
      <c r="AO62" s="232">
        <v>60</v>
      </c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</row>
    <row r="63" spans="1:52" ht="15.75" customHeight="1" x14ac:dyDescent="0.2">
      <c r="A63" s="229">
        <v>58</v>
      </c>
      <c r="B63" s="230">
        <v>100</v>
      </c>
      <c r="C63" s="211">
        <v>9</v>
      </c>
      <c r="D63" s="231">
        <v>400</v>
      </c>
      <c r="E63" s="173">
        <v>36</v>
      </c>
      <c r="F63" s="211">
        <v>2000</v>
      </c>
      <c r="G63" s="211">
        <v>180</v>
      </c>
      <c r="H63" s="231">
        <v>80</v>
      </c>
      <c r="I63" s="231">
        <v>7</v>
      </c>
      <c r="J63" s="211">
        <v>400</v>
      </c>
      <c r="K63" s="211">
        <v>35</v>
      </c>
      <c r="L63" s="143">
        <v>135</v>
      </c>
      <c r="M63" s="69">
        <v>13</v>
      </c>
      <c r="N63" s="173">
        <v>540</v>
      </c>
      <c r="O63" s="173">
        <v>54</v>
      </c>
      <c r="P63" s="69">
        <v>2700</v>
      </c>
      <c r="Q63" s="69">
        <v>270</v>
      </c>
      <c r="R63" s="173">
        <v>80</v>
      </c>
      <c r="S63" s="173">
        <v>8</v>
      </c>
      <c r="T63" s="69">
        <f t="shared" ref="T63:U63" si="61">R63*5</f>
        <v>400</v>
      </c>
      <c r="U63" s="69">
        <f t="shared" si="61"/>
        <v>40</v>
      </c>
      <c r="V63" s="230">
        <v>135</v>
      </c>
      <c r="W63" s="211">
        <v>13</v>
      </c>
      <c r="X63" s="231">
        <v>675</v>
      </c>
      <c r="Y63" s="231">
        <v>65</v>
      </c>
      <c r="Z63" s="211">
        <v>3375</v>
      </c>
      <c r="AA63" s="211">
        <v>325</v>
      </c>
      <c r="AB63" s="231">
        <v>135</v>
      </c>
      <c r="AC63" s="231">
        <v>13</v>
      </c>
      <c r="AD63" s="211">
        <v>675</v>
      </c>
      <c r="AE63" s="232">
        <v>65</v>
      </c>
      <c r="AF63" s="211">
        <v>135</v>
      </c>
      <c r="AG63" s="211">
        <v>13</v>
      </c>
      <c r="AH63" s="231">
        <v>675</v>
      </c>
      <c r="AI63" s="231">
        <v>65</v>
      </c>
      <c r="AJ63" s="211">
        <v>3375</v>
      </c>
      <c r="AK63" s="211">
        <v>325</v>
      </c>
      <c r="AL63" s="231">
        <v>135</v>
      </c>
      <c r="AM63" s="231">
        <v>13</v>
      </c>
      <c r="AN63" s="211">
        <v>675</v>
      </c>
      <c r="AO63" s="232">
        <v>65</v>
      </c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</row>
    <row r="64" spans="1:52" ht="15.75" customHeight="1" x14ac:dyDescent="0.2">
      <c r="A64" s="229">
        <v>59</v>
      </c>
      <c r="B64" s="230">
        <v>100</v>
      </c>
      <c r="C64" s="211">
        <v>9</v>
      </c>
      <c r="D64" s="231">
        <v>400</v>
      </c>
      <c r="E64" s="231">
        <v>36</v>
      </c>
      <c r="F64" s="211">
        <v>2000</v>
      </c>
      <c r="G64" s="211">
        <v>180</v>
      </c>
      <c r="H64" s="231"/>
      <c r="I64" s="231"/>
      <c r="J64" s="211"/>
      <c r="K64" s="211"/>
      <c r="L64" s="143">
        <v>150</v>
      </c>
      <c r="M64" s="69">
        <v>14</v>
      </c>
      <c r="N64" s="173">
        <v>600</v>
      </c>
      <c r="O64" s="173">
        <v>60</v>
      </c>
      <c r="P64" s="69">
        <v>3000</v>
      </c>
      <c r="Q64" s="69">
        <v>300</v>
      </c>
      <c r="R64" s="173">
        <v>100</v>
      </c>
      <c r="S64" s="173">
        <v>10</v>
      </c>
      <c r="T64" s="69">
        <f t="shared" ref="T64:U64" si="62">R64*5</f>
        <v>500</v>
      </c>
      <c r="U64" s="69">
        <f t="shared" si="62"/>
        <v>50</v>
      </c>
      <c r="V64" s="230">
        <v>150</v>
      </c>
      <c r="W64" s="211">
        <v>14</v>
      </c>
      <c r="X64" s="231">
        <v>750</v>
      </c>
      <c r="Y64" s="231">
        <v>70</v>
      </c>
      <c r="Z64" s="211">
        <v>3750</v>
      </c>
      <c r="AA64" s="211">
        <v>350</v>
      </c>
      <c r="AB64" s="231">
        <v>150</v>
      </c>
      <c r="AC64" s="231">
        <v>14</v>
      </c>
      <c r="AD64" s="211">
        <v>750</v>
      </c>
      <c r="AE64" s="232">
        <v>70</v>
      </c>
      <c r="AF64" s="211">
        <v>150</v>
      </c>
      <c r="AG64" s="211">
        <v>14</v>
      </c>
      <c r="AH64" s="231">
        <v>750</v>
      </c>
      <c r="AI64" s="231">
        <v>70</v>
      </c>
      <c r="AJ64" s="211">
        <v>3750</v>
      </c>
      <c r="AK64" s="211">
        <v>350</v>
      </c>
      <c r="AL64" s="231">
        <v>150</v>
      </c>
      <c r="AM64" s="231">
        <v>14</v>
      </c>
      <c r="AN64" s="211">
        <v>750</v>
      </c>
      <c r="AO64" s="232">
        <v>70</v>
      </c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</row>
    <row r="65" spans="1:52" ht="15.75" customHeight="1" x14ac:dyDescent="0.2">
      <c r="A65" s="240">
        <v>60</v>
      </c>
      <c r="B65" s="482" t="s">
        <v>113</v>
      </c>
      <c r="C65" s="464"/>
      <c r="D65" s="464"/>
      <c r="E65" s="464"/>
      <c r="F65" s="464"/>
      <c r="G65" s="464"/>
      <c r="H65" s="464"/>
      <c r="I65" s="464"/>
      <c r="J65" s="464"/>
      <c r="K65" s="465"/>
      <c r="L65" s="482" t="s">
        <v>113</v>
      </c>
      <c r="M65" s="464"/>
      <c r="N65" s="464"/>
      <c r="O65" s="464"/>
      <c r="P65" s="464"/>
      <c r="Q65" s="464"/>
      <c r="R65" s="464"/>
      <c r="S65" s="464"/>
      <c r="T65" s="464"/>
      <c r="U65" s="465"/>
      <c r="V65" s="482" t="s">
        <v>113</v>
      </c>
      <c r="W65" s="464"/>
      <c r="X65" s="464"/>
      <c r="Y65" s="464"/>
      <c r="Z65" s="464"/>
      <c r="AA65" s="464"/>
      <c r="AB65" s="464"/>
      <c r="AC65" s="464"/>
      <c r="AD65" s="464"/>
      <c r="AE65" s="465"/>
      <c r="AF65" s="487" t="s">
        <v>113</v>
      </c>
      <c r="AG65" s="464"/>
      <c r="AH65" s="464"/>
      <c r="AI65" s="464"/>
      <c r="AJ65" s="464"/>
      <c r="AK65" s="464"/>
      <c r="AL65" s="464"/>
      <c r="AM65" s="464"/>
      <c r="AN65" s="464"/>
      <c r="AO65" s="465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</row>
    <row r="66" spans="1:52" ht="15.75" customHeight="1" x14ac:dyDescent="0.15">
      <c r="A66" s="241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</row>
    <row r="67" spans="1:52" ht="15.75" customHeight="1" x14ac:dyDescent="0.15">
      <c r="A67" s="241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</row>
    <row r="68" spans="1:52" ht="15.75" customHeight="1" x14ac:dyDescent="0.15">
      <c r="A68" s="241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</row>
    <row r="69" spans="1:52" ht="15.75" customHeight="1" x14ac:dyDescent="0.15">
      <c r="A69" s="241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</row>
    <row r="70" spans="1:52" ht="15.75" customHeight="1" x14ac:dyDescent="0.15">
      <c r="A70" s="241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</row>
    <row r="71" spans="1:52" ht="15.75" customHeight="1" x14ac:dyDescent="0.15">
      <c r="A71" s="241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</row>
    <row r="72" spans="1:52" ht="15.75" customHeight="1" x14ac:dyDescent="0.15">
      <c r="A72" s="241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</row>
    <row r="73" spans="1:52" ht="15.75" customHeight="1" x14ac:dyDescent="0.15">
      <c r="A73" s="241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</row>
    <row r="74" spans="1:52" ht="15.75" customHeight="1" x14ac:dyDescent="0.15">
      <c r="A74" s="241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</row>
    <row r="75" spans="1:52" ht="15.75" customHeight="1" x14ac:dyDescent="0.15">
      <c r="A75" s="241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</row>
    <row r="76" spans="1:52" ht="15.75" customHeight="1" x14ac:dyDescent="0.15">
      <c r="A76" s="241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</row>
    <row r="77" spans="1:52" ht="15.75" customHeight="1" x14ac:dyDescent="0.15">
      <c r="A77" s="241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</row>
    <row r="78" spans="1:52" ht="15.75" customHeight="1" x14ac:dyDescent="0.15">
      <c r="A78" s="241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</row>
    <row r="79" spans="1:52" ht="15.75" customHeight="1" x14ac:dyDescent="0.15">
      <c r="A79" s="241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</row>
    <row r="80" spans="1:52" ht="15.75" customHeight="1" x14ac:dyDescent="0.15">
      <c r="A80" s="241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</row>
    <row r="81" spans="1:52" ht="15.75" customHeight="1" x14ac:dyDescent="0.15">
      <c r="A81" s="241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</row>
    <row r="82" spans="1:52" ht="15.75" customHeight="1" x14ac:dyDescent="0.15">
      <c r="A82" s="241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</row>
    <row r="83" spans="1:52" ht="15.75" customHeight="1" x14ac:dyDescent="0.15">
      <c r="A83" s="241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</row>
    <row r="84" spans="1:52" ht="15.75" customHeight="1" x14ac:dyDescent="0.15">
      <c r="A84" s="241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</row>
    <row r="85" spans="1:52" ht="15.75" customHeight="1" x14ac:dyDescent="0.15">
      <c r="A85" s="241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</row>
    <row r="86" spans="1:52" ht="15.75" customHeight="1" x14ac:dyDescent="0.15">
      <c r="A86" s="241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</row>
    <row r="87" spans="1:52" ht="15.75" customHeight="1" x14ac:dyDescent="0.15">
      <c r="A87" s="241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</row>
    <row r="88" spans="1:52" ht="15.75" customHeight="1" x14ac:dyDescent="0.15">
      <c r="A88" s="241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</row>
    <row r="89" spans="1:52" ht="15.75" customHeight="1" x14ac:dyDescent="0.15">
      <c r="A89" s="241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</row>
    <row r="90" spans="1:52" ht="15.75" customHeight="1" x14ac:dyDescent="0.15">
      <c r="A90" s="241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</row>
    <row r="91" spans="1:52" ht="15.75" customHeight="1" x14ac:dyDescent="0.15">
      <c r="A91" s="241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</row>
    <row r="92" spans="1:52" ht="15.75" customHeight="1" x14ac:dyDescent="0.15">
      <c r="A92" s="241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</row>
    <row r="93" spans="1:52" ht="15.75" customHeight="1" x14ac:dyDescent="0.15">
      <c r="A93" s="241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</row>
    <row r="94" spans="1:52" ht="15.75" customHeight="1" x14ac:dyDescent="0.15">
      <c r="A94" s="241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</row>
    <row r="95" spans="1:52" ht="15.75" customHeight="1" x14ac:dyDescent="0.15">
      <c r="A95" s="241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</row>
    <row r="96" spans="1:52" ht="15.75" customHeight="1" x14ac:dyDescent="0.15">
      <c r="A96" s="241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</row>
    <row r="97" spans="1:52" ht="15.75" customHeight="1" x14ac:dyDescent="0.15">
      <c r="A97" s="241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</row>
    <row r="98" spans="1:52" ht="15.75" customHeight="1" x14ac:dyDescent="0.15">
      <c r="A98" s="241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</row>
    <row r="99" spans="1:52" ht="15.75" customHeight="1" x14ac:dyDescent="0.15">
      <c r="A99" s="241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</row>
    <row r="100" spans="1:52" ht="15.75" customHeight="1" x14ac:dyDescent="0.15">
      <c r="A100" s="241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</row>
    <row r="101" spans="1:52" ht="15.75" customHeight="1" x14ac:dyDescent="0.15">
      <c r="A101" s="241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</row>
    <row r="102" spans="1:52" ht="15.75" customHeight="1" x14ac:dyDescent="0.15">
      <c r="A102" s="241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</row>
    <row r="103" spans="1:52" ht="15.75" customHeight="1" x14ac:dyDescent="0.15">
      <c r="A103" s="241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</row>
    <row r="104" spans="1:52" ht="15.75" customHeight="1" x14ac:dyDescent="0.15">
      <c r="A104" s="241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</row>
    <row r="105" spans="1:52" ht="15.75" customHeight="1" x14ac:dyDescent="0.15">
      <c r="A105" s="241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</row>
    <row r="106" spans="1:52" ht="15.75" customHeight="1" x14ac:dyDescent="0.15">
      <c r="A106" s="241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</row>
    <row r="107" spans="1:52" ht="15.75" customHeight="1" x14ac:dyDescent="0.15">
      <c r="A107" s="241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</row>
    <row r="108" spans="1:52" ht="15.75" customHeight="1" x14ac:dyDescent="0.15">
      <c r="A108" s="241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</row>
    <row r="109" spans="1:52" ht="15.75" customHeight="1" x14ac:dyDescent="0.15">
      <c r="A109" s="241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</row>
    <row r="110" spans="1:52" ht="15.75" customHeight="1" x14ac:dyDescent="0.15">
      <c r="A110" s="241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</row>
    <row r="111" spans="1:52" ht="15.75" customHeight="1" x14ac:dyDescent="0.15">
      <c r="A111" s="241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</row>
    <row r="112" spans="1:52" ht="15.75" customHeight="1" x14ac:dyDescent="0.15">
      <c r="A112" s="241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</row>
    <row r="113" spans="1:52" ht="15.75" customHeight="1" x14ac:dyDescent="0.15">
      <c r="A113" s="241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</row>
    <row r="114" spans="1:52" ht="15.75" customHeight="1" x14ac:dyDescent="0.15">
      <c r="A114" s="241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</row>
    <row r="115" spans="1:52" ht="15.75" customHeight="1" x14ac:dyDescent="0.15">
      <c r="A115" s="241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</row>
    <row r="116" spans="1:52" ht="15.75" customHeight="1" x14ac:dyDescent="0.15">
      <c r="A116" s="241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</row>
    <row r="117" spans="1:52" ht="15.75" customHeight="1" x14ac:dyDescent="0.15">
      <c r="A117" s="241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</row>
    <row r="118" spans="1:52" ht="15.75" customHeight="1" x14ac:dyDescent="0.15">
      <c r="A118" s="241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</row>
    <row r="119" spans="1:52" ht="15.75" customHeight="1" x14ac:dyDescent="0.15">
      <c r="A119" s="241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</row>
    <row r="120" spans="1:52" ht="15.75" customHeight="1" x14ac:dyDescent="0.15">
      <c r="A120" s="241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</row>
    <row r="121" spans="1:52" ht="15.75" customHeight="1" x14ac:dyDescent="0.15">
      <c r="A121" s="241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</row>
    <row r="122" spans="1:52" ht="15.75" customHeight="1" x14ac:dyDescent="0.15">
      <c r="A122" s="241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</row>
    <row r="123" spans="1:52" ht="15.75" customHeight="1" x14ac:dyDescent="0.15">
      <c r="A123" s="241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</row>
    <row r="124" spans="1:52" ht="15.75" customHeight="1" x14ac:dyDescent="0.15">
      <c r="A124" s="241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</row>
    <row r="125" spans="1:52" ht="15.75" customHeight="1" x14ac:dyDescent="0.15">
      <c r="A125" s="241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</row>
    <row r="126" spans="1:52" ht="15.75" customHeight="1" x14ac:dyDescent="0.15">
      <c r="A126" s="241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</row>
    <row r="127" spans="1:52" ht="15.75" customHeight="1" x14ac:dyDescent="0.15">
      <c r="A127" s="241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</row>
    <row r="128" spans="1:52" ht="15.75" customHeight="1" x14ac:dyDescent="0.15">
      <c r="A128" s="241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</row>
    <row r="129" spans="1:52" ht="15.75" customHeight="1" x14ac:dyDescent="0.15">
      <c r="A129" s="241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</row>
    <row r="130" spans="1:52" ht="15.75" customHeight="1" x14ac:dyDescent="0.15">
      <c r="A130" s="241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</row>
    <row r="131" spans="1:52" ht="15.75" customHeight="1" x14ac:dyDescent="0.15">
      <c r="A131" s="241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</row>
    <row r="132" spans="1:52" ht="15.75" customHeight="1" x14ac:dyDescent="0.15">
      <c r="A132" s="241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</row>
    <row r="133" spans="1:52" ht="15.75" customHeight="1" x14ac:dyDescent="0.15">
      <c r="A133" s="241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</row>
    <row r="134" spans="1:52" ht="15.75" customHeight="1" x14ac:dyDescent="0.15">
      <c r="A134" s="241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</row>
    <row r="135" spans="1:52" ht="15.75" customHeight="1" x14ac:dyDescent="0.15">
      <c r="A135" s="241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</row>
    <row r="136" spans="1:52" ht="15.75" customHeight="1" x14ac:dyDescent="0.15">
      <c r="A136" s="241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</row>
    <row r="137" spans="1:52" ht="15.75" customHeight="1" x14ac:dyDescent="0.15">
      <c r="A137" s="241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</row>
    <row r="138" spans="1:52" ht="15.75" customHeight="1" x14ac:dyDescent="0.15">
      <c r="A138" s="241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</row>
    <row r="139" spans="1:52" ht="15.75" customHeight="1" x14ac:dyDescent="0.15">
      <c r="A139" s="241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</row>
    <row r="140" spans="1:52" ht="15.75" customHeight="1" x14ac:dyDescent="0.15">
      <c r="A140" s="241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</row>
    <row r="141" spans="1:52" ht="15.75" customHeight="1" x14ac:dyDescent="0.15">
      <c r="A141" s="241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</row>
    <row r="142" spans="1:52" ht="15.75" customHeight="1" x14ac:dyDescent="0.15">
      <c r="A142" s="241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</row>
    <row r="143" spans="1:52" ht="15.75" customHeight="1" x14ac:dyDescent="0.15">
      <c r="A143" s="241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</row>
    <row r="144" spans="1:52" ht="15.75" customHeight="1" x14ac:dyDescent="0.15">
      <c r="A144" s="241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</row>
    <row r="145" spans="1:52" ht="15.75" customHeight="1" x14ac:dyDescent="0.15">
      <c r="A145" s="241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</row>
    <row r="146" spans="1:52" ht="15.75" customHeight="1" x14ac:dyDescent="0.15">
      <c r="A146" s="241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</row>
    <row r="147" spans="1:52" ht="15.75" customHeight="1" x14ac:dyDescent="0.15">
      <c r="A147" s="241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</row>
    <row r="148" spans="1:52" ht="15.75" customHeight="1" x14ac:dyDescent="0.15">
      <c r="A148" s="241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</row>
    <row r="149" spans="1:52" ht="15.75" customHeight="1" x14ac:dyDescent="0.15">
      <c r="A149" s="241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</row>
    <row r="150" spans="1:52" ht="15.75" customHeight="1" x14ac:dyDescent="0.15">
      <c r="A150" s="241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</row>
    <row r="151" spans="1:52" ht="15.75" customHeight="1" x14ac:dyDescent="0.15">
      <c r="A151" s="241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</row>
    <row r="152" spans="1:52" ht="15.75" customHeight="1" x14ac:dyDescent="0.15">
      <c r="A152" s="241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</row>
    <row r="153" spans="1:52" ht="15.75" customHeight="1" x14ac:dyDescent="0.15">
      <c r="A153" s="241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</row>
    <row r="154" spans="1:52" ht="15.75" customHeight="1" x14ac:dyDescent="0.15">
      <c r="A154" s="241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</row>
    <row r="155" spans="1:52" ht="15.75" customHeight="1" x14ac:dyDescent="0.15">
      <c r="A155" s="241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</row>
    <row r="156" spans="1:52" ht="15.75" customHeight="1" x14ac:dyDescent="0.15">
      <c r="A156" s="241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</row>
    <row r="157" spans="1:52" ht="15.75" customHeight="1" x14ac:dyDescent="0.15">
      <c r="A157" s="241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</row>
    <row r="158" spans="1:52" ht="15.75" customHeight="1" x14ac:dyDescent="0.15">
      <c r="A158" s="241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</row>
    <row r="159" spans="1:52" ht="15.75" customHeight="1" x14ac:dyDescent="0.15">
      <c r="A159" s="241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</row>
    <row r="160" spans="1:52" ht="15.75" customHeight="1" x14ac:dyDescent="0.15">
      <c r="A160" s="241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</row>
    <row r="161" spans="1:52" ht="15.75" customHeight="1" x14ac:dyDescent="0.15">
      <c r="A161" s="241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</row>
    <row r="162" spans="1:52" ht="15.75" customHeight="1" x14ac:dyDescent="0.15">
      <c r="A162" s="241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</row>
    <row r="163" spans="1:52" ht="15.75" customHeight="1" x14ac:dyDescent="0.15">
      <c r="A163" s="241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</row>
    <row r="164" spans="1:52" ht="15.75" customHeight="1" x14ac:dyDescent="0.15">
      <c r="A164" s="241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</row>
    <row r="165" spans="1:52" ht="15.75" customHeight="1" x14ac:dyDescent="0.15">
      <c r="A165" s="241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</row>
    <row r="166" spans="1:52" ht="15.75" customHeight="1" x14ac:dyDescent="0.15">
      <c r="A166" s="241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</row>
    <row r="167" spans="1:52" ht="15.75" customHeight="1" x14ac:dyDescent="0.15">
      <c r="A167" s="241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</row>
    <row r="168" spans="1:52" ht="15.75" customHeight="1" x14ac:dyDescent="0.15">
      <c r="A168" s="241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</row>
    <row r="169" spans="1:52" ht="15.75" customHeight="1" x14ac:dyDescent="0.15">
      <c r="A169" s="241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</row>
    <row r="170" spans="1:52" ht="15.75" customHeight="1" x14ac:dyDescent="0.15">
      <c r="A170" s="241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</row>
    <row r="171" spans="1:52" ht="15.75" customHeight="1" x14ac:dyDescent="0.15">
      <c r="A171" s="241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</row>
    <row r="172" spans="1:52" ht="15.75" customHeight="1" x14ac:dyDescent="0.15">
      <c r="A172" s="241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</row>
    <row r="173" spans="1:52" ht="15.75" customHeight="1" x14ac:dyDescent="0.15">
      <c r="A173" s="241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</row>
    <row r="174" spans="1:52" ht="15.75" customHeight="1" x14ac:dyDescent="0.15">
      <c r="A174" s="241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</row>
    <row r="175" spans="1:52" ht="15.75" customHeight="1" x14ac:dyDescent="0.15">
      <c r="A175" s="241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</row>
    <row r="176" spans="1:52" ht="15.75" customHeight="1" x14ac:dyDescent="0.15">
      <c r="A176" s="241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</row>
    <row r="177" spans="1:52" ht="15.75" customHeight="1" x14ac:dyDescent="0.15">
      <c r="A177" s="241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</row>
    <row r="178" spans="1:52" ht="15.75" customHeight="1" x14ac:dyDescent="0.15">
      <c r="A178" s="241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</row>
    <row r="179" spans="1:52" ht="15.75" customHeight="1" x14ac:dyDescent="0.15">
      <c r="A179" s="241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</row>
    <row r="180" spans="1:52" ht="15.75" customHeight="1" x14ac:dyDescent="0.15">
      <c r="A180" s="241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</row>
    <row r="181" spans="1:52" ht="15.75" customHeight="1" x14ac:dyDescent="0.15">
      <c r="A181" s="241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</row>
    <row r="182" spans="1:52" ht="15.75" customHeight="1" x14ac:dyDescent="0.15">
      <c r="A182" s="241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</row>
    <row r="183" spans="1:52" ht="15.75" customHeight="1" x14ac:dyDescent="0.15">
      <c r="A183" s="241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</row>
    <row r="184" spans="1:52" ht="15.75" customHeight="1" x14ac:dyDescent="0.15">
      <c r="A184" s="241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</row>
    <row r="185" spans="1:52" ht="15.75" customHeight="1" x14ac:dyDescent="0.15">
      <c r="A185" s="241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</row>
    <row r="186" spans="1:52" ht="15.75" customHeight="1" x14ac:dyDescent="0.15">
      <c r="A186" s="241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</row>
    <row r="187" spans="1:52" ht="15.75" customHeight="1" x14ac:dyDescent="0.15">
      <c r="A187" s="241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</row>
    <row r="188" spans="1:52" ht="15.75" customHeight="1" x14ac:dyDescent="0.15">
      <c r="A188" s="241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</row>
    <row r="189" spans="1:52" ht="15.75" customHeight="1" x14ac:dyDescent="0.15">
      <c r="A189" s="241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</row>
    <row r="190" spans="1:52" ht="15.75" customHeight="1" x14ac:dyDescent="0.15">
      <c r="A190" s="241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</row>
    <row r="191" spans="1:52" ht="15.75" customHeight="1" x14ac:dyDescent="0.15">
      <c r="A191" s="241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</row>
    <row r="192" spans="1:52" ht="15.75" customHeight="1" x14ac:dyDescent="0.15">
      <c r="A192" s="241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</row>
    <row r="193" spans="1:52" ht="15.75" customHeight="1" x14ac:dyDescent="0.15">
      <c r="A193" s="241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</row>
    <row r="194" spans="1:52" ht="15.75" customHeight="1" x14ac:dyDescent="0.15">
      <c r="A194" s="241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</row>
    <row r="195" spans="1:52" ht="15.75" customHeight="1" x14ac:dyDescent="0.15">
      <c r="A195" s="241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</row>
    <row r="196" spans="1:52" ht="15.75" customHeight="1" x14ac:dyDescent="0.15">
      <c r="A196" s="241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</row>
    <row r="197" spans="1:52" ht="15.75" customHeight="1" x14ac:dyDescent="0.15">
      <c r="A197" s="241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</row>
    <row r="198" spans="1:52" ht="15.75" customHeight="1" x14ac:dyDescent="0.15">
      <c r="A198" s="241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</row>
    <row r="199" spans="1:52" ht="15.75" customHeight="1" x14ac:dyDescent="0.15">
      <c r="A199" s="241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</row>
    <row r="200" spans="1:52" ht="15.75" customHeight="1" x14ac:dyDescent="0.15">
      <c r="A200" s="241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</row>
    <row r="201" spans="1:52" ht="15.75" customHeight="1" x14ac:dyDescent="0.15">
      <c r="A201" s="241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</row>
    <row r="202" spans="1:52" ht="15.75" customHeight="1" x14ac:dyDescent="0.15">
      <c r="A202" s="241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</row>
    <row r="203" spans="1:52" ht="15.75" customHeight="1" x14ac:dyDescent="0.15">
      <c r="A203" s="241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</row>
    <row r="204" spans="1:52" ht="15.75" customHeight="1" x14ac:dyDescent="0.15">
      <c r="A204" s="241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</row>
    <row r="205" spans="1:52" ht="15.75" customHeight="1" x14ac:dyDescent="0.15">
      <c r="A205" s="241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</row>
    <row r="206" spans="1:52" ht="15.75" customHeight="1" x14ac:dyDescent="0.15">
      <c r="A206" s="241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</row>
    <row r="207" spans="1:52" ht="15.75" customHeight="1" x14ac:dyDescent="0.15">
      <c r="A207" s="241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</row>
    <row r="208" spans="1:52" ht="15.75" customHeight="1" x14ac:dyDescent="0.15">
      <c r="A208" s="241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</row>
    <row r="209" spans="1:52" ht="15.75" customHeight="1" x14ac:dyDescent="0.15">
      <c r="A209" s="241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</row>
    <row r="210" spans="1:52" ht="15.75" customHeight="1" x14ac:dyDescent="0.15">
      <c r="A210" s="241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</row>
    <row r="211" spans="1:52" ht="15.75" customHeight="1" x14ac:dyDescent="0.15">
      <c r="A211" s="241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</row>
    <row r="212" spans="1:52" ht="15.75" customHeight="1" x14ac:dyDescent="0.15">
      <c r="A212" s="241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</row>
    <row r="213" spans="1:52" ht="15.75" customHeight="1" x14ac:dyDescent="0.15">
      <c r="A213" s="241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</row>
    <row r="214" spans="1:52" ht="15.75" customHeight="1" x14ac:dyDescent="0.15">
      <c r="A214" s="241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</row>
    <row r="215" spans="1:52" ht="15.75" customHeight="1" x14ac:dyDescent="0.15">
      <c r="A215" s="241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</row>
    <row r="216" spans="1:52" ht="15.75" customHeight="1" x14ac:dyDescent="0.15">
      <c r="A216" s="241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</row>
    <row r="217" spans="1:52" ht="15.75" customHeight="1" x14ac:dyDescent="0.15">
      <c r="A217" s="241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</row>
    <row r="218" spans="1:52" ht="15.75" customHeight="1" x14ac:dyDescent="0.15">
      <c r="A218" s="241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</row>
    <row r="219" spans="1:52" ht="15.75" customHeight="1" x14ac:dyDescent="0.15">
      <c r="A219" s="241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</row>
    <row r="220" spans="1:52" ht="15.75" customHeight="1" x14ac:dyDescent="0.15">
      <c r="A220" s="241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</row>
    <row r="221" spans="1:52" ht="15.75" customHeight="1" x14ac:dyDescent="0.15">
      <c r="A221" s="241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</row>
    <row r="222" spans="1:52" ht="15.75" customHeight="1" x14ac:dyDescent="0.15">
      <c r="A222" s="241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</row>
    <row r="223" spans="1:52" ht="15.75" customHeight="1" x14ac:dyDescent="0.15">
      <c r="A223" s="241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</row>
    <row r="224" spans="1:52" ht="15.75" customHeight="1" x14ac:dyDescent="0.15">
      <c r="A224" s="241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</row>
    <row r="225" spans="1:52" ht="15.75" customHeight="1" x14ac:dyDescent="0.15">
      <c r="A225" s="241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</row>
    <row r="226" spans="1:52" ht="15.75" customHeight="1" x14ac:dyDescent="0.15">
      <c r="A226" s="241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</row>
    <row r="227" spans="1:52" ht="15.75" customHeight="1" x14ac:dyDescent="0.15">
      <c r="A227" s="241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</row>
    <row r="228" spans="1:52" ht="15.75" customHeight="1" x14ac:dyDescent="0.15">
      <c r="A228" s="241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</row>
    <row r="229" spans="1:52" ht="15.75" customHeight="1" x14ac:dyDescent="0.15">
      <c r="A229" s="241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</row>
    <row r="230" spans="1:52" ht="15.75" customHeight="1" x14ac:dyDescent="0.15">
      <c r="A230" s="241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</row>
    <row r="231" spans="1:52" ht="15.75" customHeight="1" x14ac:dyDescent="0.15">
      <c r="A231" s="241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</row>
    <row r="232" spans="1:52" ht="15.75" customHeight="1" x14ac:dyDescent="0.15">
      <c r="A232" s="241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</row>
    <row r="233" spans="1:52" ht="15.75" customHeight="1" x14ac:dyDescent="0.15">
      <c r="A233" s="241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</row>
    <row r="234" spans="1:52" ht="15.75" customHeight="1" x14ac:dyDescent="0.15">
      <c r="A234" s="241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</row>
    <row r="235" spans="1:52" ht="15.75" customHeight="1" x14ac:dyDescent="0.15">
      <c r="A235" s="241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</row>
    <row r="236" spans="1:52" ht="15.75" customHeight="1" x14ac:dyDescent="0.15">
      <c r="A236" s="241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</row>
    <row r="237" spans="1:52" ht="15.75" customHeight="1" x14ac:dyDescent="0.15">
      <c r="A237" s="241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</row>
    <row r="238" spans="1:52" ht="15.75" customHeight="1" x14ac:dyDescent="0.15">
      <c r="A238" s="241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</row>
    <row r="239" spans="1:52" ht="15.75" customHeight="1" x14ac:dyDescent="0.15">
      <c r="A239" s="241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</row>
    <row r="240" spans="1:52" ht="15.75" customHeight="1" x14ac:dyDescent="0.15">
      <c r="A240" s="241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</row>
    <row r="241" spans="1:52" ht="15.75" customHeight="1" x14ac:dyDescent="0.15">
      <c r="A241" s="241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</row>
    <row r="242" spans="1:52" ht="15.75" customHeight="1" x14ac:dyDescent="0.15">
      <c r="A242" s="241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</row>
    <row r="243" spans="1:52" ht="15.75" customHeight="1" x14ac:dyDescent="0.15">
      <c r="A243" s="241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</row>
    <row r="244" spans="1:52" ht="15.75" customHeight="1" x14ac:dyDescent="0.15">
      <c r="A244" s="241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</row>
    <row r="245" spans="1:52" ht="15.75" customHeight="1" x14ac:dyDescent="0.15">
      <c r="A245" s="241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</row>
    <row r="246" spans="1:52" ht="15.75" customHeight="1" x14ac:dyDescent="0.15">
      <c r="A246" s="241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</row>
    <row r="247" spans="1:52" ht="15.75" customHeight="1" x14ac:dyDescent="0.15">
      <c r="A247" s="241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</row>
    <row r="248" spans="1:52" ht="15.75" customHeight="1" x14ac:dyDescent="0.15">
      <c r="A248" s="241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</row>
    <row r="249" spans="1:52" ht="15.75" customHeight="1" x14ac:dyDescent="0.15">
      <c r="A249" s="241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</row>
    <row r="250" spans="1:52" ht="15.75" customHeight="1" x14ac:dyDescent="0.15">
      <c r="A250" s="241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</row>
    <row r="251" spans="1:52" ht="15.75" customHeight="1" x14ac:dyDescent="0.15">
      <c r="A251" s="241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</row>
    <row r="252" spans="1:52" ht="15.75" customHeight="1" x14ac:dyDescent="0.15">
      <c r="A252" s="241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</row>
    <row r="253" spans="1:52" ht="15.75" customHeight="1" x14ac:dyDescent="0.15">
      <c r="A253" s="241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</row>
    <row r="254" spans="1:52" ht="15.75" customHeight="1" x14ac:dyDescent="0.15">
      <c r="A254" s="241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</row>
    <row r="255" spans="1:52" ht="15.75" customHeight="1" x14ac:dyDescent="0.15">
      <c r="A255" s="241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</row>
    <row r="256" spans="1:52" ht="15.75" customHeight="1" x14ac:dyDescent="0.15">
      <c r="A256" s="241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</row>
    <row r="257" spans="1:52" ht="15.75" customHeight="1" x14ac:dyDescent="0.15">
      <c r="A257" s="241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</row>
    <row r="258" spans="1:52" ht="15.75" customHeight="1" x14ac:dyDescent="0.15">
      <c r="A258" s="241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</row>
    <row r="259" spans="1:52" ht="15.75" customHeight="1" x14ac:dyDescent="0.15">
      <c r="A259" s="241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</row>
    <row r="260" spans="1:52" ht="15.75" customHeight="1" x14ac:dyDescent="0.15">
      <c r="A260" s="241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</row>
    <row r="261" spans="1:52" ht="15.75" customHeight="1" x14ac:dyDescent="0.15">
      <c r="A261" s="241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</row>
    <row r="262" spans="1:52" ht="15.75" customHeight="1" x14ac:dyDescent="0.15">
      <c r="A262" s="241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</row>
    <row r="263" spans="1:52" ht="15.75" customHeight="1" x14ac:dyDescent="0.15">
      <c r="A263" s="241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</row>
    <row r="264" spans="1:52" ht="15.75" customHeight="1" x14ac:dyDescent="0.15">
      <c r="A264" s="241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</row>
    <row r="265" spans="1:52" ht="15.75" customHeight="1" x14ac:dyDescent="0.15">
      <c r="A265" s="241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</row>
    <row r="266" spans="1:52" ht="15.75" customHeight="1" x14ac:dyDescent="0.15"/>
    <row r="267" spans="1:52" ht="15.75" customHeight="1" x14ac:dyDescent="0.15"/>
    <row r="268" spans="1:52" ht="15.75" customHeight="1" x14ac:dyDescent="0.15"/>
    <row r="269" spans="1:52" ht="15.75" customHeight="1" x14ac:dyDescent="0.15"/>
    <row r="270" spans="1:52" ht="15.75" customHeight="1" x14ac:dyDescent="0.15"/>
    <row r="271" spans="1:52" ht="15.75" customHeight="1" x14ac:dyDescent="0.15"/>
    <row r="272" spans="1:5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V65:AE65"/>
    <mergeCell ref="AF65:AO65"/>
    <mergeCell ref="AH1:AO1"/>
    <mergeCell ref="H2:K2"/>
    <mergeCell ref="H4:I4"/>
    <mergeCell ref="J4:K4"/>
    <mergeCell ref="B65:K65"/>
    <mergeCell ref="L4:M4"/>
    <mergeCell ref="N4:O4"/>
    <mergeCell ref="P4:Q4"/>
    <mergeCell ref="R4:S4"/>
    <mergeCell ref="L65:U65"/>
    <mergeCell ref="T4:U4"/>
    <mergeCell ref="V4:W4"/>
    <mergeCell ref="X4:Y4"/>
    <mergeCell ref="Z4:AA4"/>
    <mergeCell ref="AB4:AC4"/>
    <mergeCell ref="AD4:AE4"/>
    <mergeCell ref="B1:K1"/>
    <mergeCell ref="L1:U1"/>
    <mergeCell ref="V1:W1"/>
    <mergeCell ref="X1:AE1"/>
    <mergeCell ref="AF1:AG1"/>
    <mergeCell ref="AF4:AG4"/>
    <mergeCell ref="AH4:AI4"/>
    <mergeCell ref="AJ4:AK4"/>
    <mergeCell ref="AL4:AM4"/>
    <mergeCell ref="B3:K3"/>
    <mergeCell ref="L3:U3"/>
    <mergeCell ref="V3:AE3"/>
    <mergeCell ref="AF3:AO3"/>
    <mergeCell ref="B4:C4"/>
    <mergeCell ref="D4:E4"/>
    <mergeCell ref="F4:G4"/>
    <mergeCell ref="AN4:AO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 x14ac:dyDescent="0.15"/>
  <cols>
    <col min="1" max="4" width="8.6640625" customWidth="1"/>
    <col min="5" max="5" width="4.6640625" customWidth="1"/>
    <col min="6" max="9" width="8.6640625" customWidth="1"/>
    <col min="10" max="10" width="4.33203125" customWidth="1"/>
    <col min="11" max="13" width="8.6640625" customWidth="1"/>
    <col min="14" max="14" width="4.5" customWidth="1"/>
    <col min="15" max="23" width="10.1640625" customWidth="1"/>
  </cols>
  <sheetData>
    <row r="1" spans="1:25" ht="15.75" customHeight="1" x14ac:dyDescent="0.2">
      <c r="A1" s="488" t="s">
        <v>197</v>
      </c>
      <c r="B1" s="468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67"/>
      <c r="O1" s="54" t="s">
        <v>198</v>
      </c>
      <c r="P1" s="54"/>
      <c r="Q1" s="54"/>
      <c r="R1" s="55"/>
      <c r="S1" s="55"/>
      <c r="T1" s="55"/>
      <c r="U1" s="55"/>
      <c r="V1" s="55"/>
      <c r="W1" s="55"/>
      <c r="X1" s="67"/>
      <c r="Y1" s="67"/>
    </row>
    <row r="2" spans="1:25" ht="15.75" customHeight="1" x14ac:dyDescent="0.15">
      <c r="A2" s="476" t="s">
        <v>199</v>
      </c>
      <c r="B2" s="473"/>
      <c r="C2" s="473"/>
      <c r="D2" s="474"/>
      <c r="E2" s="211"/>
      <c r="F2" s="489" t="s">
        <v>200</v>
      </c>
      <c r="G2" s="473"/>
      <c r="H2" s="473"/>
      <c r="I2" s="474"/>
      <c r="J2" s="211"/>
      <c r="K2" s="490" t="s">
        <v>201</v>
      </c>
      <c r="L2" s="473"/>
      <c r="M2" s="474"/>
      <c r="N2" s="67"/>
      <c r="O2" s="55"/>
      <c r="P2" s="491" t="s">
        <v>202</v>
      </c>
      <c r="Q2" s="464"/>
      <c r="R2" s="465"/>
      <c r="S2" s="492" t="s">
        <v>200</v>
      </c>
      <c r="T2" s="464"/>
      <c r="U2" s="465"/>
      <c r="V2" s="493" t="s">
        <v>201</v>
      </c>
      <c r="W2" s="465"/>
      <c r="X2" s="67"/>
      <c r="Y2" s="67"/>
    </row>
    <row r="3" spans="1:25" ht="15.75" customHeight="1" x14ac:dyDescent="0.15">
      <c r="A3" s="245" t="s">
        <v>100</v>
      </c>
      <c r="B3" s="246" t="s">
        <v>203</v>
      </c>
      <c r="C3" s="247" t="s">
        <v>204</v>
      </c>
      <c r="D3" s="248" t="s">
        <v>93</v>
      </c>
      <c r="E3" s="211"/>
      <c r="F3" s="249" t="s">
        <v>100</v>
      </c>
      <c r="G3" s="250" t="s">
        <v>203</v>
      </c>
      <c r="H3" s="251" t="s">
        <v>204</v>
      </c>
      <c r="I3" s="252" t="s">
        <v>93</v>
      </c>
      <c r="J3" s="211"/>
      <c r="K3" s="253" t="s">
        <v>100</v>
      </c>
      <c r="L3" s="254" t="s">
        <v>204</v>
      </c>
      <c r="M3" s="255" t="s">
        <v>93</v>
      </c>
      <c r="N3" s="67"/>
      <c r="O3" s="256" t="s">
        <v>205</v>
      </c>
      <c r="P3" s="257" t="s">
        <v>203</v>
      </c>
      <c r="Q3" s="258" t="s">
        <v>204</v>
      </c>
      <c r="R3" s="259" t="s">
        <v>93</v>
      </c>
      <c r="S3" s="260" t="s">
        <v>203</v>
      </c>
      <c r="T3" s="261" t="s">
        <v>204</v>
      </c>
      <c r="U3" s="262" t="s">
        <v>93</v>
      </c>
      <c r="V3" s="263" t="s">
        <v>204</v>
      </c>
      <c r="W3" s="264" t="s">
        <v>93</v>
      </c>
      <c r="X3" s="67"/>
      <c r="Y3" s="67"/>
    </row>
    <row r="4" spans="1:25" ht="15.75" customHeight="1" x14ac:dyDescent="0.15">
      <c r="A4" s="265">
        <v>1</v>
      </c>
      <c r="B4" s="230">
        <v>500</v>
      </c>
      <c r="C4" s="211">
        <v>1000</v>
      </c>
      <c r="D4" s="232">
        <v>2000</v>
      </c>
      <c r="E4" s="211"/>
      <c r="F4" s="265">
        <v>1</v>
      </c>
      <c r="G4" s="230">
        <v>1000</v>
      </c>
      <c r="H4" s="211">
        <v>1500</v>
      </c>
      <c r="I4" s="232">
        <v>3000</v>
      </c>
      <c r="J4" s="211"/>
      <c r="K4" s="266">
        <v>1</v>
      </c>
      <c r="L4" s="211">
        <v>2000</v>
      </c>
      <c r="M4" s="232">
        <v>4000</v>
      </c>
      <c r="N4" s="67"/>
      <c r="O4" s="187" t="s">
        <v>206</v>
      </c>
      <c r="P4" s="267">
        <f t="shared" ref="P4:R4" si="0">SUM(B4:B17)</f>
        <v>48500</v>
      </c>
      <c r="Q4" s="268">
        <f t="shared" si="0"/>
        <v>97000</v>
      </c>
      <c r="R4" s="268">
        <f t="shared" si="0"/>
        <v>194000</v>
      </c>
      <c r="S4" s="267">
        <f t="shared" ref="S4:U4" si="1">SUM(G4:G17)</f>
        <v>97000</v>
      </c>
      <c r="T4" s="268">
        <f t="shared" si="1"/>
        <v>145500</v>
      </c>
      <c r="U4" s="269">
        <f t="shared" si="1"/>
        <v>291000</v>
      </c>
      <c r="V4" s="267">
        <f t="shared" ref="V4:W4" si="2">SUM(L4:L17)</f>
        <v>194000</v>
      </c>
      <c r="W4" s="269">
        <f t="shared" si="2"/>
        <v>388000</v>
      </c>
      <c r="X4" s="67"/>
      <c r="Y4" s="67"/>
    </row>
    <row r="5" spans="1:25" ht="15.75" customHeight="1" x14ac:dyDescent="0.15">
      <c r="A5" s="265">
        <v>2</v>
      </c>
      <c r="B5" s="230">
        <v>750</v>
      </c>
      <c r="C5" s="211">
        <v>1500</v>
      </c>
      <c r="D5" s="232">
        <v>3000</v>
      </c>
      <c r="E5" s="211"/>
      <c r="F5" s="265">
        <v>2</v>
      </c>
      <c r="G5" s="230">
        <v>1500</v>
      </c>
      <c r="H5" s="211">
        <v>2250</v>
      </c>
      <c r="I5" s="232">
        <v>4500</v>
      </c>
      <c r="J5" s="211"/>
      <c r="K5" s="266">
        <v>2</v>
      </c>
      <c r="L5" s="211">
        <v>3000</v>
      </c>
      <c r="M5" s="232">
        <v>6000</v>
      </c>
      <c r="N5" s="67"/>
      <c r="O5" s="187" t="s">
        <v>107</v>
      </c>
      <c r="P5" s="143">
        <f t="shared" ref="P5:R5" si="3">SUM(B18:B22)</f>
        <v>90500</v>
      </c>
      <c r="Q5" s="69">
        <f t="shared" si="3"/>
        <v>181000</v>
      </c>
      <c r="R5" s="69">
        <f t="shared" si="3"/>
        <v>362000</v>
      </c>
      <c r="S5" s="143">
        <f t="shared" ref="S5:U5" si="4">SUM(G18:G22)</f>
        <v>181000</v>
      </c>
      <c r="T5" s="69">
        <f t="shared" si="4"/>
        <v>271500</v>
      </c>
      <c r="U5" s="146">
        <f t="shared" si="4"/>
        <v>543000</v>
      </c>
      <c r="V5" s="143">
        <f t="shared" ref="V5:W5" si="5">SUM(L18:L22)</f>
        <v>362000</v>
      </c>
      <c r="W5" s="146">
        <f t="shared" si="5"/>
        <v>724000</v>
      </c>
      <c r="X5" s="67"/>
      <c r="Y5" s="67"/>
    </row>
    <row r="6" spans="1:25" ht="15.75" customHeight="1" x14ac:dyDescent="0.15">
      <c r="A6" s="265">
        <v>3</v>
      </c>
      <c r="B6" s="230">
        <v>1000</v>
      </c>
      <c r="C6" s="211">
        <v>2000</v>
      </c>
      <c r="D6" s="232">
        <v>4000</v>
      </c>
      <c r="E6" s="211"/>
      <c r="F6" s="265">
        <v>3</v>
      </c>
      <c r="G6" s="230">
        <v>2000</v>
      </c>
      <c r="H6" s="211">
        <v>3000</v>
      </c>
      <c r="I6" s="232">
        <v>6000</v>
      </c>
      <c r="J6" s="211"/>
      <c r="K6" s="266">
        <v>3</v>
      </c>
      <c r="L6" s="211">
        <v>4000</v>
      </c>
      <c r="M6" s="232">
        <v>8000</v>
      </c>
      <c r="N6" s="67"/>
      <c r="O6" s="187" t="s">
        <v>108</v>
      </c>
      <c r="P6" s="143">
        <f t="shared" ref="P6:R6" si="6">SUM(B23:B27)</f>
        <v>165000</v>
      </c>
      <c r="Q6" s="69">
        <f t="shared" si="6"/>
        <v>330000</v>
      </c>
      <c r="R6" s="69">
        <f t="shared" si="6"/>
        <v>660000</v>
      </c>
      <c r="S6" s="143">
        <f t="shared" ref="S6:U6" si="7">SUM(G23:G27)</f>
        <v>330000</v>
      </c>
      <c r="T6" s="69">
        <f t="shared" si="7"/>
        <v>495000</v>
      </c>
      <c r="U6" s="146">
        <f t="shared" si="7"/>
        <v>990000</v>
      </c>
      <c r="V6" s="143">
        <f t="shared" ref="V6:W6" si="8">SUM(L23:L27)</f>
        <v>660000</v>
      </c>
      <c r="W6" s="146">
        <f t="shared" si="8"/>
        <v>1320000</v>
      </c>
      <c r="X6" s="67"/>
      <c r="Y6" s="67"/>
    </row>
    <row r="7" spans="1:25" ht="15.75" customHeight="1" x14ac:dyDescent="0.15">
      <c r="A7" s="265">
        <v>4</v>
      </c>
      <c r="B7" s="230">
        <v>1250</v>
      </c>
      <c r="C7" s="211">
        <v>2500</v>
      </c>
      <c r="D7" s="232">
        <v>5000</v>
      </c>
      <c r="E7" s="211"/>
      <c r="F7" s="265">
        <v>4</v>
      </c>
      <c r="G7" s="230">
        <v>2500</v>
      </c>
      <c r="H7" s="211">
        <v>3750</v>
      </c>
      <c r="I7" s="232">
        <v>7500</v>
      </c>
      <c r="J7" s="211"/>
      <c r="K7" s="266">
        <v>4</v>
      </c>
      <c r="L7" s="211">
        <v>5000</v>
      </c>
      <c r="M7" s="232">
        <v>10000</v>
      </c>
      <c r="N7" s="67"/>
      <c r="O7" s="187" t="s">
        <v>109</v>
      </c>
      <c r="P7" s="143">
        <f t="shared" ref="P7:R7" si="9">SUM(B28:B32)</f>
        <v>252000</v>
      </c>
      <c r="Q7" s="69">
        <f t="shared" si="9"/>
        <v>504000</v>
      </c>
      <c r="R7" s="69">
        <f t="shared" si="9"/>
        <v>1008000</v>
      </c>
      <c r="S7" s="143">
        <f t="shared" ref="S7:U7" si="10">SUM(G28:G32)</f>
        <v>504000</v>
      </c>
      <c r="T7" s="69">
        <f t="shared" si="10"/>
        <v>756000</v>
      </c>
      <c r="U7" s="146">
        <f t="shared" si="10"/>
        <v>1512000</v>
      </c>
      <c r="V7" s="143">
        <f t="shared" ref="V7:W7" si="11">SUM(L28:L32)</f>
        <v>1008000</v>
      </c>
      <c r="W7" s="146">
        <f t="shared" si="11"/>
        <v>2016000</v>
      </c>
      <c r="X7" s="67"/>
      <c r="Y7" s="67"/>
    </row>
    <row r="8" spans="1:25" ht="15.75" customHeight="1" x14ac:dyDescent="0.15">
      <c r="A8" s="265">
        <v>5</v>
      </c>
      <c r="B8" s="230">
        <v>1500</v>
      </c>
      <c r="C8" s="211">
        <v>3000</v>
      </c>
      <c r="D8" s="232">
        <v>6000</v>
      </c>
      <c r="E8" s="211"/>
      <c r="F8" s="265">
        <v>5</v>
      </c>
      <c r="G8" s="230">
        <v>3000</v>
      </c>
      <c r="H8" s="211">
        <v>4500</v>
      </c>
      <c r="I8" s="232">
        <v>9000</v>
      </c>
      <c r="J8" s="211"/>
      <c r="K8" s="266">
        <v>5</v>
      </c>
      <c r="L8" s="211">
        <v>6000</v>
      </c>
      <c r="M8" s="232">
        <v>12000</v>
      </c>
      <c r="N8" s="67"/>
      <c r="O8" s="182" t="s">
        <v>110</v>
      </c>
      <c r="P8" s="270">
        <f t="shared" ref="P8:W8" si="12">SUM(P4:P7)</f>
        <v>556000</v>
      </c>
      <c r="Q8" s="271">
        <f t="shared" si="12"/>
        <v>1112000</v>
      </c>
      <c r="R8" s="271">
        <f t="shared" si="12"/>
        <v>2224000</v>
      </c>
      <c r="S8" s="270">
        <f t="shared" si="12"/>
        <v>1112000</v>
      </c>
      <c r="T8" s="271">
        <f t="shared" si="12"/>
        <v>1668000</v>
      </c>
      <c r="U8" s="272">
        <f t="shared" si="12"/>
        <v>3336000</v>
      </c>
      <c r="V8" s="270">
        <f t="shared" si="12"/>
        <v>2224000</v>
      </c>
      <c r="W8" s="272">
        <f t="shared" si="12"/>
        <v>4448000</v>
      </c>
      <c r="X8" s="67"/>
      <c r="Y8" s="67"/>
    </row>
    <row r="9" spans="1:25" ht="15.75" customHeight="1" x14ac:dyDescent="0.15">
      <c r="A9" s="265">
        <v>6</v>
      </c>
      <c r="B9" s="230">
        <v>2000</v>
      </c>
      <c r="C9" s="211">
        <v>4000</v>
      </c>
      <c r="D9" s="232">
        <v>8000</v>
      </c>
      <c r="E9" s="211"/>
      <c r="F9" s="265">
        <v>6</v>
      </c>
      <c r="G9" s="230">
        <v>4000</v>
      </c>
      <c r="H9" s="211">
        <v>6000</v>
      </c>
      <c r="I9" s="232">
        <v>12000</v>
      </c>
      <c r="J9" s="211"/>
      <c r="K9" s="266">
        <v>6</v>
      </c>
      <c r="L9" s="211">
        <v>8000</v>
      </c>
      <c r="M9" s="232">
        <v>16000</v>
      </c>
      <c r="N9" s="67"/>
      <c r="O9" s="187" t="s">
        <v>111</v>
      </c>
      <c r="P9" s="143">
        <f t="shared" ref="P9:R9" si="13">SUM(B33:B37)</f>
        <v>337500</v>
      </c>
      <c r="Q9" s="69">
        <f t="shared" si="13"/>
        <v>675000</v>
      </c>
      <c r="R9" s="69">
        <f t="shared" si="13"/>
        <v>1350000</v>
      </c>
      <c r="S9" s="143">
        <f t="shared" ref="S9:U9" si="14">SUM(G33:G37)</f>
        <v>675000</v>
      </c>
      <c r="T9" s="69">
        <f t="shared" si="14"/>
        <v>1012500</v>
      </c>
      <c r="U9" s="146">
        <f t="shared" si="14"/>
        <v>2025000</v>
      </c>
      <c r="V9" s="143">
        <f t="shared" ref="V9:W9" si="15">SUM(L33:L37)</f>
        <v>1350000</v>
      </c>
      <c r="W9" s="146">
        <f t="shared" si="15"/>
        <v>2700000</v>
      </c>
      <c r="X9" s="67"/>
      <c r="Y9" s="67"/>
    </row>
    <row r="10" spans="1:25" ht="15.75" customHeight="1" x14ac:dyDescent="0.15">
      <c r="A10" s="265">
        <v>7</v>
      </c>
      <c r="B10" s="230">
        <v>2500</v>
      </c>
      <c r="C10" s="211">
        <v>5000</v>
      </c>
      <c r="D10" s="232">
        <v>10000</v>
      </c>
      <c r="E10" s="211"/>
      <c r="F10" s="265">
        <v>7</v>
      </c>
      <c r="G10" s="230">
        <v>5000</v>
      </c>
      <c r="H10" s="211">
        <v>7500</v>
      </c>
      <c r="I10" s="232">
        <v>15000</v>
      </c>
      <c r="J10" s="211"/>
      <c r="K10" s="266">
        <v>7</v>
      </c>
      <c r="L10" s="211">
        <v>10000</v>
      </c>
      <c r="M10" s="232">
        <v>20000</v>
      </c>
      <c r="N10" s="67"/>
      <c r="O10" s="187" t="s">
        <v>112</v>
      </c>
      <c r="P10" s="143">
        <f t="shared" ref="P10:R10" si="16">SUM(B38:B42)</f>
        <v>400000</v>
      </c>
      <c r="Q10" s="69">
        <f t="shared" si="16"/>
        <v>800000</v>
      </c>
      <c r="R10" s="69">
        <f t="shared" si="16"/>
        <v>1600000</v>
      </c>
      <c r="S10" s="143">
        <f t="shared" ref="S10:U10" si="17">SUM(G38:G42)</f>
        <v>800000</v>
      </c>
      <c r="T10" s="69">
        <f t="shared" si="17"/>
        <v>1200000</v>
      </c>
      <c r="U10" s="146">
        <f t="shared" si="17"/>
        <v>2400000</v>
      </c>
      <c r="V10" s="143">
        <f t="shared" ref="V10:W10" si="18">SUM(L38:L42)</f>
        <v>1600000</v>
      </c>
      <c r="W10" s="146">
        <f t="shared" si="18"/>
        <v>3200000</v>
      </c>
      <c r="X10" s="67"/>
      <c r="Y10" s="67"/>
    </row>
    <row r="11" spans="1:25" ht="15.75" customHeight="1" x14ac:dyDescent="0.15">
      <c r="A11" s="265">
        <v>8</v>
      </c>
      <c r="B11" s="230">
        <v>3000</v>
      </c>
      <c r="C11" s="211">
        <v>6000</v>
      </c>
      <c r="D11" s="232">
        <v>12000</v>
      </c>
      <c r="E11" s="211"/>
      <c r="F11" s="265">
        <v>8</v>
      </c>
      <c r="G11" s="230">
        <v>6000</v>
      </c>
      <c r="H11" s="211">
        <v>9000</v>
      </c>
      <c r="I11" s="232">
        <v>18000</v>
      </c>
      <c r="J11" s="211"/>
      <c r="K11" s="266">
        <v>8</v>
      </c>
      <c r="L11" s="211">
        <v>12000</v>
      </c>
      <c r="M11" s="232">
        <v>24000</v>
      </c>
      <c r="N11" s="67"/>
      <c r="O11" s="187" t="s">
        <v>114</v>
      </c>
      <c r="P11" s="143">
        <f t="shared" ref="P11:R11" si="19">SUM(B43:B47)</f>
        <v>462500</v>
      </c>
      <c r="Q11" s="69">
        <f t="shared" si="19"/>
        <v>925000</v>
      </c>
      <c r="R11" s="69">
        <f t="shared" si="19"/>
        <v>1850000</v>
      </c>
      <c r="S11" s="143">
        <f t="shared" ref="S11:U11" si="20">SUM(G43:G47)</f>
        <v>925000</v>
      </c>
      <c r="T11" s="69">
        <f t="shared" si="20"/>
        <v>1387500</v>
      </c>
      <c r="U11" s="146">
        <f t="shared" si="20"/>
        <v>2775000</v>
      </c>
      <c r="V11" s="143">
        <f t="shared" ref="V11:W11" si="21">SUM(L43:L47)</f>
        <v>1850000</v>
      </c>
      <c r="W11" s="146">
        <f t="shared" si="21"/>
        <v>3700000</v>
      </c>
      <c r="X11" s="67"/>
      <c r="Y11" s="67"/>
    </row>
    <row r="12" spans="1:25" ht="15.75" customHeight="1" x14ac:dyDescent="0.15">
      <c r="A12" s="265">
        <v>9</v>
      </c>
      <c r="B12" s="230">
        <v>3500</v>
      </c>
      <c r="C12" s="211">
        <v>7000</v>
      </c>
      <c r="D12" s="232">
        <v>14000</v>
      </c>
      <c r="E12" s="211"/>
      <c r="F12" s="265">
        <v>9</v>
      </c>
      <c r="G12" s="230">
        <v>7000</v>
      </c>
      <c r="H12" s="211">
        <v>10500</v>
      </c>
      <c r="I12" s="232">
        <v>21000</v>
      </c>
      <c r="J12" s="211"/>
      <c r="K12" s="266">
        <v>9</v>
      </c>
      <c r="L12" s="211">
        <v>14000</v>
      </c>
      <c r="M12" s="232">
        <v>28000</v>
      </c>
      <c r="N12" s="67"/>
      <c r="O12" s="187" t="s">
        <v>115</v>
      </c>
      <c r="P12" s="143">
        <f t="shared" ref="P12:R12" si="22">SUM(B48:B52)</f>
        <v>525000</v>
      </c>
      <c r="Q12" s="69">
        <f t="shared" si="22"/>
        <v>1050000</v>
      </c>
      <c r="R12" s="69">
        <f t="shared" si="22"/>
        <v>2100000</v>
      </c>
      <c r="S12" s="143">
        <f t="shared" ref="S12:U12" si="23">SUM(G48:G52)</f>
        <v>1050000</v>
      </c>
      <c r="T12" s="69">
        <f t="shared" si="23"/>
        <v>1575000</v>
      </c>
      <c r="U12" s="146">
        <f t="shared" si="23"/>
        <v>3150000</v>
      </c>
      <c r="V12" s="143">
        <f t="shared" ref="V12:W12" si="24">SUM(L48:L52)</f>
        <v>2100000</v>
      </c>
      <c r="W12" s="146">
        <f t="shared" si="24"/>
        <v>4200000</v>
      </c>
      <c r="X12" s="67"/>
      <c r="Y12" s="67"/>
    </row>
    <row r="13" spans="1:25" ht="15.75" customHeight="1" x14ac:dyDescent="0.15">
      <c r="A13" s="265">
        <v>10</v>
      </c>
      <c r="B13" s="230">
        <v>4000</v>
      </c>
      <c r="C13" s="211">
        <v>8000</v>
      </c>
      <c r="D13" s="232">
        <v>16000</v>
      </c>
      <c r="E13" s="211"/>
      <c r="F13" s="265">
        <v>10</v>
      </c>
      <c r="G13" s="230">
        <v>8000</v>
      </c>
      <c r="H13" s="211">
        <v>12000</v>
      </c>
      <c r="I13" s="232">
        <v>24000</v>
      </c>
      <c r="J13" s="211"/>
      <c r="K13" s="266">
        <v>10</v>
      </c>
      <c r="L13" s="211">
        <v>16000</v>
      </c>
      <c r="M13" s="232">
        <v>32000</v>
      </c>
      <c r="N13" s="67"/>
      <c r="O13" s="187" t="s">
        <v>207</v>
      </c>
      <c r="P13" s="143">
        <f t="shared" ref="P13:R13" si="25">SUM(B53:B57)</f>
        <v>587500</v>
      </c>
      <c r="Q13" s="69">
        <f t="shared" si="25"/>
        <v>1175000</v>
      </c>
      <c r="R13" s="69">
        <f t="shared" si="25"/>
        <v>2350000</v>
      </c>
      <c r="S13" s="143">
        <f t="shared" ref="S13:U13" si="26">SUM(G53:G57)</f>
        <v>1175000</v>
      </c>
      <c r="T13" s="69">
        <f t="shared" si="26"/>
        <v>1762500</v>
      </c>
      <c r="U13" s="146">
        <f t="shared" si="26"/>
        <v>3525000</v>
      </c>
      <c r="V13" s="143">
        <f t="shared" ref="V13:W13" si="27">SUM(L53:L57)</f>
        <v>2350000</v>
      </c>
      <c r="W13" s="146">
        <f t="shared" si="27"/>
        <v>4700000</v>
      </c>
      <c r="X13" s="67"/>
      <c r="Y13" s="67"/>
    </row>
    <row r="14" spans="1:25" ht="15.75" customHeight="1" x14ac:dyDescent="0.15">
      <c r="A14" s="265">
        <v>11</v>
      </c>
      <c r="B14" s="230">
        <v>5000</v>
      </c>
      <c r="C14" s="211">
        <v>10000</v>
      </c>
      <c r="D14" s="232">
        <v>20000</v>
      </c>
      <c r="E14" s="211"/>
      <c r="F14" s="265">
        <v>11</v>
      </c>
      <c r="G14" s="230">
        <v>10000</v>
      </c>
      <c r="H14" s="211">
        <v>15000</v>
      </c>
      <c r="I14" s="232">
        <v>30000</v>
      </c>
      <c r="J14" s="211"/>
      <c r="K14" s="266">
        <v>11</v>
      </c>
      <c r="L14" s="211">
        <v>20000</v>
      </c>
      <c r="M14" s="232">
        <v>40000</v>
      </c>
      <c r="N14" s="67"/>
      <c r="O14" s="187" t="s">
        <v>208</v>
      </c>
      <c r="P14" s="143">
        <f t="shared" ref="P14:R14" si="28">SUM(B58:B62)</f>
        <v>650000</v>
      </c>
      <c r="Q14" s="69">
        <f t="shared" si="28"/>
        <v>1300000</v>
      </c>
      <c r="R14" s="69">
        <f t="shared" si="28"/>
        <v>2600000</v>
      </c>
      <c r="S14" s="143">
        <f t="shared" ref="S14:U14" si="29">SUM(G58:G62)</f>
        <v>1300000</v>
      </c>
      <c r="T14" s="69">
        <f t="shared" si="29"/>
        <v>1950000</v>
      </c>
      <c r="U14" s="146">
        <f t="shared" si="29"/>
        <v>3900000</v>
      </c>
      <c r="V14" s="143">
        <f t="shared" ref="V14:W14" si="30">SUM(L58:L62)</f>
        <v>2600000</v>
      </c>
      <c r="W14" s="146">
        <f t="shared" si="30"/>
        <v>5200000</v>
      </c>
      <c r="X14" s="67"/>
      <c r="Y14" s="67"/>
    </row>
    <row r="15" spans="1:25" ht="15.75" customHeight="1" x14ac:dyDescent="0.15">
      <c r="A15" s="265">
        <v>12</v>
      </c>
      <c r="B15" s="230">
        <v>6000</v>
      </c>
      <c r="C15" s="211">
        <v>12000</v>
      </c>
      <c r="D15" s="232">
        <v>24000</v>
      </c>
      <c r="E15" s="211"/>
      <c r="F15" s="265">
        <v>12</v>
      </c>
      <c r="G15" s="230">
        <v>12000</v>
      </c>
      <c r="H15" s="211">
        <v>18000</v>
      </c>
      <c r="I15" s="232">
        <v>36000</v>
      </c>
      <c r="J15" s="211"/>
      <c r="K15" s="266">
        <v>12</v>
      </c>
      <c r="L15" s="211">
        <v>24000</v>
      </c>
      <c r="M15" s="232">
        <v>48000</v>
      </c>
      <c r="N15" s="67"/>
      <c r="O15" s="182" t="s">
        <v>209</v>
      </c>
      <c r="P15" s="270">
        <f t="shared" ref="P15:W15" si="31">SUM(P9:P14)</f>
        <v>2962500</v>
      </c>
      <c r="Q15" s="271">
        <f t="shared" si="31"/>
        <v>5925000</v>
      </c>
      <c r="R15" s="271">
        <f t="shared" si="31"/>
        <v>11850000</v>
      </c>
      <c r="S15" s="270">
        <f t="shared" si="31"/>
        <v>5925000</v>
      </c>
      <c r="T15" s="271">
        <f t="shared" si="31"/>
        <v>8887500</v>
      </c>
      <c r="U15" s="272">
        <f t="shared" si="31"/>
        <v>17775000</v>
      </c>
      <c r="V15" s="270">
        <f t="shared" si="31"/>
        <v>11850000</v>
      </c>
      <c r="W15" s="272">
        <f t="shared" si="31"/>
        <v>23700000</v>
      </c>
      <c r="X15" s="67"/>
      <c r="Y15" s="67"/>
    </row>
    <row r="16" spans="1:25" ht="15.75" customHeight="1" x14ac:dyDescent="0.15">
      <c r="A16" s="265">
        <v>13</v>
      </c>
      <c r="B16" s="230">
        <v>7500</v>
      </c>
      <c r="C16" s="211">
        <v>15000</v>
      </c>
      <c r="D16" s="232">
        <v>30000</v>
      </c>
      <c r="E16" s="211"/>
      <c r="F16" s="265">
        <v>13</v>
      </c>
      <c r="G16" s="230">
        <v>15000</v>
      </c>
      <c r="H16" s="211">
        <v>22500</v>
      </c>
      <c r="I16" s="232">
        <v>45000</v>
      </c>
      <c r="J16" s="211"/>
      <c r="K16" s="266">
        <v>13</v>
      </c>
      <c r="L16" s="211">
        <v>30000</v>
      </c>
      <c r="M16" s="232">
        <v>60000</v>
      </c>
      <c r="N16" s="67"/>
      <c r="O16" s="273" t="s">
        <v>210</v>
      </c>
      <c r="P16" s="274">
        <f t="shared" ref="P16:W16" si="32">P8+P15</f>
        <v>3518500</v>
      </c>
      <c r="Q16" s="275">
        <f t="shared" si="32"/>
        <v>7037000</v>
      </c>
      <c r="R16" s="275">
        <f t="shared" si="32"/>
        <v>14074000</v>
      </c>
      <c r="S16" s="274">
        <f t="shared" si="32"/>
        <v>7037000</v>
      </c>
      <c r="T16" s="275">
        <f t="shared" si="32"/>
        <v>10555500</v>
      </c>
      <c r="U16" s="276">
        <f t="shared" si="32"/>
        <v>21111000</v>
      </c>
      <c r="V16" s="274">
        <f t="shared" si="32"/>
        <v>14074000</v>
      </c>
      <c r="W16" s="276">
        <f t="shared" si="32"/>
        <v>28148000</v>
      </c>
      <c r="X16" s="67"/>
      <c r="Y16" s="67"/>
    </row>
    <row r="17" spans="1:25" ht="15.75" customHeight="1" x14ac:dyDescent="0.15">
      <c r="A17" s="265">
        <v>14</v>
      </c>
      <c r="B17" s="230">
        <v>10000</v>
      </c>
      <c r="C17" s="211">
        <v>20000</v>
      </c>
      <c r="D17" s="232">
        <v>40000</v>
      </c>
      <c r="E17" s="211"/>
      <c r="F17" s="265">
        <v>14</v>
      </c>
      <c r="G17" s="230">
        <v>20000</v>
      </c>
      <c r="H17" s="211">
        <v>30000</v>
      </c>
      <c r="I17" s="232">
        <v>60000</v>
      </c>
      <c r="J17" s="211"/>
      <c r="K17" s="266">
        <v>14</v>
      </c>
      <c r="L17" s="211">
        <v>40000</v>
      </c>
      <c r="M17" s="232">
        <v>80000</v>
      </c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 spans="1:25" ht="15.75" customHeight="1" x14ac:dyDescent="0.2">
      <c r="A18" s="265">
        <v>15</v>
      </c>
      <c r="B18" s="230">
        <v>12500</v>
      </c>
      <c r="C18" s="211">
        <v>25000</v>
      </c>
      <c r="D18" s="232">
        <v>50000</v>
      </c>
      <c r="E18" s="211"/>
      <c r="F18" s="265">
        <v>15</v>
      </c>
      <c r="G18" s="230">
        <v>25000</v>
      </c>
      <c r="H18" s="211">
        <v>37500</v>
      </c>
      <c r="I18" s="232">
        <v>75000</v>
      </c>
      <c r="J18" s="211"/>
      <c r="K18" s="266">
        <v>15</v>
      </c>
      <c r="L18" s="211">
        <v>50000</v>
      </c>
      <c r="M18" s="232">
        <v>100000</v>
      </c>
      <c r="N18" s="67"/>
      <c r="O18" s="54" t="s">
        <v>211</v>
      </c>
      <c r="P18" s="55"/>
      <c r="Q18" s="55"/>
      <c r="R18" s="67"/>
      <c r="S18" s="67"/>
      <c r="T18" s="67"/>
      <c r="U18" s="67"/>
      <c r="V18" s="67"/>
      <c r="W18" s="67"/>
      <c r="X18" s="67"/>
      <c r="Y18" s="67"/>
    </row>
    <row r="19" spans="1:25" ht="15.75" customHeight="1" x14ac:dyDescent="0.15">
      <c r="A19" s="265">
        <v>16</v>
      </c>
      <c r="B19" s="230">
        <v>15000</v>
      </c>
      <c r="C19" s="211">
        <v>30000</v>
      </c>
      <c r="D19" s="232">
        <v>60000</v>
      </c>
      <c r="E19" s="211"/>
      <c r="F19" s="265">
        <v>16</v>
      </c>
      <c r="G19" s="230">
        <v>30000</v>
      </c>
      <c r="H19" s="211">
        <v>45000</v>
      </c>
      <c r="I19" s="232">
        <v>90000</v>
      </c>
      <c r="J19" s="211"/>
      <c r="K19" s="266">
        <v>16</v>
      </c>
      <c r="L19" s="211">
        <v>60000</v>
      </c>
      <c r="M19" s="232">
        <v>120000</v>
      </c>
      <c r="N19" s="67"/>
      <c r="O19" s="256" t="s">
        <v>100</v>
      </c>
      <c r="P19" s="243" t="s">
        <v>212</v>
      </c>
      <c r="Q19" s="244" t="s">
        <v>213</v>
      </c>
      <c r="R19" s="67"/>
      <c r="S19" s="67"/>
      <c r="T19" s="67"/>
      <c r="U19" s="67"/>
      <c r="V19" s="67"/>
      <c r="W19" s="67"/>
      <c r="X19" s="67"/>
      <c r="Y19" s="67"/>
    </row>
    <row r="20" spans="1:25" ht="15.75" customHeight="1" x14ac:dyDescent="0.15">
      <c r="A20" s="265">
        <v>17</v>
      </c>
      <c r="B20" s="230">
        <v>18000</v>
      </c>
      <c r="C20" s="211">
        <v>36000</v>
      </c>
      <c r="D20" s="232">
        <v>72000</v>
      </c>
      <c r="E20" s="211"/>
      <c r="F20" s="265">
        <v>17</v>
      </c>
      <c r="G20" s="230">
        <v>36000</v>
      </c>
      <c r="H20" s="211">
        <v>54000</v>
      </c>
      <c r="I20" s="232">
        <v>108000</v>
      </c>
      <c r="J20" s="211"/>
      <c r="K20" s="266">
        <v>17</v>
      </c>
      <c r="L20" s="211">
        <v>72000</v>
      </c>
      <c r="M20" s="232">
        <v>144000</v>
      </c>
      <c r="N20" s="67"/>
      <c r="O20" s="277">
        <v>30</v>
      </c>
      <c r="P20" s="278">
        <v>35</v>
      </c>
      <c r="Q20" s="279">
        <v>1</v>
      </c>
      <c r="R20" s="67"/>
      <c r="S20" s="67"/>
      <c r="T20" s="67"/>
      <c r="U20" s="67"/>
      <c r="V20" s="67"/>
      <c r="W20" s="67"/>
      <c r="X20" s="67"/>
      <c r="Y20" s="67"/>
    </row>
    <row r="21" spans="1:25" ht="15.75" customHeight="1" x14ac:dyDescent="0.15">
      <c r="A21" s="265">
        <v>18</v>
      </c>
      <c r="B21" s="230">
        <v>21000</v>
      </c>
      <c r="C21" s="211">
        <v>42000</v>
      </c>
      <c r="D21" s="232">
        <v>84000</v>
      </c>
      <c r="E21" s="211"/>
      <c r="F21" s="265">
        <v>18</v>
      </c>
      <c r="G21" s="230">
        <v>42000</v>
      </c>
      <c r="H21" s="211">
        <v>63000</v>
      </c>
      <c r="I21" s="232">
        <v>126000</v>
      </c>
      <c r="J21" s="211"/>
      <c r="K21" s="266">
        <v>18</v>
      </c>
      <c r="L21" s="211">
        <v>84000</v>
      </c>
      <c r="M21" s="232">
        <v>168000</v>
      </c>
      <c r="N21" s="67"/>
      <c r="O21" s="187">
        <v>35</v>
      </c>
      <c r="P21" s="280">
        <v>40</v>
      </c>
      <c r="Q21" s="281">
        <v>1</v>
      </c>
      <c r="R21" s="67"/>
      <c r="S21" s="67"/>
      <c r="T21" s="67"/>
      <c r="U21" s="67"/>
      <c r="V21" s="67"/>
      <c r="W21" s="67"/>
      <c r="X21" s="67"/>
      <c r="Y21" s="67"/>
    </row>
    <row r="22" spans="1:25" ht="15.75" customHeight="1" x14ac:dyDescent="0.15">
      <c r="A22" s="265">
        <v>19</v>
      </c>
      <c r="B22" s="230">
        <v>24000</v>
      </c>
      <c r="C22" s="211">
        <v>48000</v>
      </c>
      <c r="D22" s="232">
        <v>96000</v>
      </c>
      <c r="E22" s="211"/>
      <c r="F22" s="265">
        <v>19</v>
      </c>
      <c r="G22" s="230">
        <v>48000</v>
      </c>
      <c r="H22" s="211">
        <v>72000</v>
      </c>
      <c r="I22" s="232">
        <v>144000</v>
      </c>
      <c r="J22" s="211"/>
      <c r="K22" s="266">
        <v>19</v>
      </c>
      <c r="L22" s="211">
        <v>96000</v>
      </c>
      <c r="M22" s="232">
        <v>192000</v>
      </c>
      <c r="N22" s="67"/>
      <c r="O22" s="187">
        <v>40</v>
      </c>
      <c r="P22" s="280">
        <v>45</v>
      </c>
      <c r="Q22" s="281">
        <v>1</v>
      </c>
      <c r="R22" s="67"/>
      <c r="S22" s="67"/>
      <c r="T22" s="67"/>
      <c r="U22" s="67"/>
      <c r="V22" s="67"/>
      <c r="W22" s="67"/>
      <c r="X22" s="67"/>
      <c r="Y22" s="67"/>
    </row>
    <row r="23" spans="1:25" ht="15.75" customHeight="1" x14ac:dyDescent="0.15">
      <c r="A23" s="265">
        <v>20</v>
      </c>
      <c r="B23" s="230">
        <v>27000</v>
      </c>
      <c r="C23" s="211">
        <v>54000</v>
      </c>
      <c r="D23" s="232">
        <v>108000</v>
      </c>
      <c r="E23" s="211"/>
      <c r="F23" s="265">
        <v>20</v>
      </c>
      <c r="G23" s="230">
        <v>54000</v>
      </c>
      <c r="H23" s="211">
        <v>81000</v>
      </c>
      <c r="I23" s="232">
        <v>162000</v>
      </c>
      <c r="J23" s="211"/>
      <c r="K23" s="266">
        <v>20</v>
      </c>
      <c r="L23" s="211">
        <v>108000</v>
      </c>
      <c r="M23" s="232">
        <v>216000</v>
      </c>
      <c r="N23" s="67"/>
      <c r="O23" s="187">
        <v>45</v>
      </c>
      <c r="P23" s="280">
        <v>50</v>
      </c>
      <c r="Q23" s="281">
        <v>2</v>
      </c>
      <c r="R23" s="67"/>
      <c r="S23" s="67"/>
      <c r="T23" s="67"/>
      <c r="U23" s="67"/>
      <c r="V23" s="67"/>
      <c r="W23" s="67"/>
      <c r="X23" s="67"/>
      <c r="Y23" s="67"/>
    </row>
    <row r="24" spans="1:25" ht="15.75" customHeight="1" x14ac:dyDescent="0.15">
      <c r="A24" s="265">
        <v>21</v>
      </c>
      <c r="B24" s="230">
        <v>30000</v>
      </c>
      <c r="C24" s="211">
        <v>60000</v>
      </c>
      <c r="D24" s="232">
        <v>120000</v>
      </c>
      <c r="E24" s="211"/>
      <c r="F24" s="265">
        <v>21</v>
      </c>
      <c r="G24" s="230">
        <v>60000</v>
      </c>
      <c r="H24" s="211">
        <v>90000</v>
      </c>
      <c r="I24" s="232">
        <v>180000</v>
      </c>
      <c r="J24" s="211"/>
      <c r="K24" s="266">
        <v>21</v>
      </c>
      <c r="L24" s="211">
        <v>120000</v>
      </c>
      <c r="M24" s="232">
        <v>240000</v>
      </c>
      <c r="N24" s="67"/>
      <c r="O24" s="187">
        <v>50</v>
      </c>
      <c r="P24" s="280">
        <v>55</v>
      </c>
      <c r="Q24" s="281">
        <v>2</v>
      </c>
      <c r="R24" s="67"/>
      <c r="S24" s="67"/>
      <c r="T24" s="67"/>
      <c r="U24" s="67"/>
      <c r="V24" s="67"/>
      <c r="W24" s="67"/>
      <c r="X24" s="67"/>
      <c r="Y24" s="67"/>
    </row>
    <row r="25" spans="1:25" ht="15.75" customHeight="1" x14ac:dyDescent="0.15">
      <c r="A25" s="265">
        <v>22</v>
      </c>
      <c r="B25" s="230">
        <v>33000</v>
      </c>
      <c r="C25" s="211">
        <v>66000</v>
      </c>
      <c r="D25" s="232">
        <v>132000</v>
      </c>
      <c r="E25" s="211"/>
      <c r="F25" s="265">
        <v>22</v>
      </c>
      <c r="G25" s="230">
        <v>66000</v>
      </c>
      <c r="H25" s="211">
        <v>99000</v>
      </c>
      <c r="I25" s="232">
        <v>198000</v>
      </c>
      <c r="J25" s="211"/>
      <c r="K25" s="266">
        <v>22</v>
      </c>
      <c r="L25" s="211">
        <v>132000</v>
      </c>
      <c r="M25" s="232">
        <v>264000</v>
      </c>
      <c r="N25" s="67"/>
      <c r="O25" s="282">
        <v>55</v>
      </c>
      <c r="P25" s="283">
        <v>60</v>
      </c>
      <c r="Q25" s="284">
        <v>3</v>
      </c>
      <c r="R25" s="67"/>
      <c r="S25" s="67"/>
      <c r="T25" s="67"/>
      <c r="U25" s="67"/>
      <c r="V25" s="67"/>
      <c r="W25" s="67"/>
      <c r="X25" s="67"/>
      <c r="Y25" s="67"/>
    </row>
    <row r="26" spans="1:25" ht="15.75" customHeight="1" x14ac:dyDescent="0.15">
      <c r="A26" s="265">
        <v>23</v>
      </c>
      <c r="B26" s="230">
        <v>36000</v>
      </c>
      <c r="C26" s="211">
        <v>72000</v>
      </c>
      <c r="D26" s="232">
        <v>144000</v>
      </c>
      <c r="E26" s="211"/>
      <c r="F26" s="265">
        <v>23</v>
      </c>
      <c r="G26" s="230">
        <v>72000</v>
      </c>
      <c r="H26" s="211">
        <v>108000</v>
      </c>
      <c r="I26" s="232">
        <v>216000</v>
      </c>
      <c r="J26" s="211"/>
      <c r="K26" s="266">
        <v>23</v>
      </c>
      <c r="L26" s="211">
        <v>144000</v>
      </c>
      <c r="M26" s="232">
        <v>288000</v>
      </c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 spans="1:25" ht="15.75" customHeight="1" x14ac:dyDescent="0.15">
      <c r="A27" s="265">
        <v>24</v>
      </c>
      <c r="B27" s="230">
        <v>39000</v>
      </c>
      <c r="C27" s="211">
        <v>78000</v>
      </c>
      <c r="D27" s="232">
        <v>156000</v>
      </c>
      <c r="E27" s="211"/>
      <c r="F27" s="265">
        <v>24</v>
      </c>
      <c r="G27" s="230">
        <v>78000</v>
      </c>
      <c r="H27" s="211">
        <v>117000</v>
      </c>
      <c r="I27" s="232">
        <v>234000</v>
      </c>
      <c r="J27" s="211"/>
      <c r="K27" s="266">
        <v>24</v>
      </c>
      <c r="L27" s="211">
        <v>156000</v>
      </c>
      <c r="M27" s="232">
        <v>312000</v>
      </c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 spans="1:25" ht="15.75" customHeight="1" x14ac:dyDescent="0.15">
      <c r="A28" s="265">
        <v>25</v>
      </c>
      <c r="B28" s="230">
        <v>42000</v>
      </c>
      <c r="C28" s="211">
        <v>84000</v>
      </c>
      <c r="D28" s="232">
        <v>168000</v>
      </c>
      <c r="E28" s="211"/>
      <c r="F28" s="265">
        <v>25</v>
      </c>
      <c r="G28" s="230">
        <v>84000</v>
      </c>
      <c r="H28" s="211">
        <v>126000</v>
      </c>
      <c r="I28" s="232">
        <v>252000</v>
      </c>
      <c r="J28" s="211"/>
      <c r="K28" s="266">
        <v>25</v>
      </c>
      <c r="L28" s="211">
        <v>168000</v>
      </c>
      <c r="M28" s="232">
        <v>336000</v>
      </c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 spans="1:25" ht="15.75" customHeight="1" x14ac:dyDescent="0.15">
      <c r="A29" s="265">
        <v>26</v>
      </c>
      <c r="B29" s="230">
        <v>45000</v>
      </c>
      <c r="C29" s="211">
        <v>90000</v>
      </c>
      <c r="D29" s="232">
        <v>180000</v>
      </c>
      <c r="E29" s="211"/>
      <c r="F29" s="265">
        <v>26</v>
      </c>
      <c r="G29" s="230">
        <v>90000</v>
      </c>
      <c r="H29" s="211">
        <v>135000</v>
      </c>
      <c r="I29" s="232">
        <v>270000</v>
      </c>
      <c r="J29" s="211"/>
      <c r="K29" s="266">
        <v>26</v>
      </c>
      <c r="L29" s="211">
        <v>180000</v>
      </c>
      <c r="M29" s="232">
        <v>360000</v>
      </c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 spans="1:25" ht="15.75" customHeight="1" x14ac:dyDescent="0.15">
      <c r="A30" s="265">
        <v>27</v>
      </c>
      <c r="B30" s="230">
        <v>50000</v>
      </c>
      <c r="C30" s="211">
        <v>100000</v>
      </c>
      <c r="D30" s="232">
        <v>200000</v>
      </c>
      <c r="E30" s="211"/>
      <c r="F30" s="265">
        <v>27</v>
      </c>
      <c r="G30" s="230">
        <v>100000</v>
      </c>
      <c r="H30" s="211">
        <v>150000</v>
      </c>
      <c r="I30" s="232">
        <v>300000</v>
      </c>
      <c r="J30" s="211"/>
      <c r="K30" s="266">
        <v>27</v>
      </c>
      <c r="L30" s="211">
        <v>200000</v>
      </c>
      <c r="M30" s="232">
        <v>400000</v>
      </c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 spans="1:25" ht="15.75" customHeight="1" x14ac:dyDescent="0.15">
      <c r="A31" s="265">
        <v>28</v>
      </c>
      <c r="B31" s="230">
        <v>55000</v>
      </c>
      <c r="C31" s="211">
        <v>110000</v>
      </c>
      <c r="D31" s="232">
        <v>220000</v>
      </c>
      <c r="E31" s="211"/>
      <c r="F31" s="265">
        <v>28</v>
      </c>
      <c r="G31" s="230">
        <v>110000</v>
      </c>
      <c r="H31" s="211">
        <v>165000</v>
      </c>
      <c r="I31" s="232">
        <v>330000</v>
      </c>
      <c r="J31" s="211"/>
      <c r="K31" s="266">
        <v>28</v>
      </c>
      <c r="L31" s="211">
        <v>220000</v>
      </c>
      <c r="M31" s="232">
        <v>440000</v>
      </c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 spans="1:25" ht="15.75" customHeight="1" x14ac:dyDescent="0.15">
      <c r="A32" s="265">
        <v>29</v>
      </c>
      <c r="B32" s="230">
        <v>60000</v>
      </c>
      <c r="C32" s="211">
        <v>120000</v>
      </c>
      <c r="D32" s="232">
        <v>240000</v>
      </c>
      <c r="E32" s="211"/>
      <c r="F32" s="265">
        <v>29</v>
      </c>
      <c r="G32" s="230">
        <v>120000</v>
      </c>
      <c r="H32" s="211">
        <v>180000</v>
      </c>
      <c r="I32" s="232">
        <v>360000</v>
      </c>
      <c r="J32" s="211"/>
      <c r="K32" s="266">
        <v>29</v>
      </c>
      <c r="L32" s="211">
        <v>240000</v>
      </c>
      <c r="M32" s="232">
        <v>480000</v>
      </c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spans="1:25" ht="15.75" customHeight="1" x14ac:dyDescent="0.15">
      <c r="A33" s="285">
        <v>30</v>
      </c>
      <c r="B33" s="286">
        <v>62500</v>
      </c>
      <c r="C33" s="287">
        <v>125000</v>
      </c>
      <c r="D33" s="288">
        <v>250000</v>
      </c>
      <c r="E33" s="211"/>
      <c r="F33" s="285">
        <v>30</v>
      </c>
      <c r="G33" s="286">
        <v>125000</v>
      </c>
      <c r="H33" s="287">
        <v>187500</v>
      </c>
      <c r="I33" s="288">
        <v>375000</v>
      </c>
      <c r="J33" s="211"/>
      <c r="K33" s="289">
        <v>30</v>
      </c>
      <c r="L33" s="287">
        <v>250000</v>
      </c>
      <c r="M33" s="288">
        <v>500000</v>
      </c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 spans="1:25" ht="15.75" customHeight="1" x14ac:dyDescent="0.15">
      <c r="A34" s="285">
        <v>31</v>
      </c>
      <c r="B34" s="286">
        <v>65000</v>
      </c>
      <c r="C34" s="287">
        <v>130000</v>
      </c>
      <c r="D34" s="288">
        <v>260000</v>
      </c>
      <c r="E34" s="211"/>
      <c r="F34" s="285">
        <v>31</v>
      </c>
      <c r="G34" s="286">
        <v>130000</v>
      </c>
      <c r="H34" s="287">
        <v>195000</v>
      </c>
      <c r="I34" s="288">
        <v>390000</v>
      </c>
      <c r="J34" s="211"/>
      <c r="K34" s="289">
        <v>31</v>
      </c>
      <c r="L34" s="287">
        <v>260000</v>
      </c>
      <c r="M34" s="288">
        <v>520000</v>
      </c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 spans="1:25" ht="15.75" customHeight="1" x14ac:dyDescent="0.15">
      <c r="A35" s="285">
        <v>32</v>
      </c>
      <c r="B35" s="286">
        <v>67500</v>
      </c>
      <c r="C35" s="287">
        <v>135000</v>
      </c>
      <c r="D35" s="288">
        <v>270000</v>
      </c>
      <c r="E35" s="211"/>
      <c r="F35" s="285">
        <v>32</v>
      </c>
      <c r="G35" s="286">
        <v>135000</v>
      </c>
      <c r="H35" s="287">
        <v>202500</v>
      </c>
      <c r="I35" s="288">
        <v>405000</v>
      </c>
      <c r="J35" s="211"/>
      <c r="K35" s="289">
        <v>32</v>
      </c>
      <c r="L35" s="287">
        <v>270000</v>
      </c>
      <c r="M35" s="288">
        <v>540000</v>
      </c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 spans="1:25" ht="15.75" customHeight="1" x14ac:dyDescent="0.15">
      <c r="A36" s="285">
        <v>33</v>
      </c>
      <c r="B36" s="286">
        <v>70000</v>
      </c>
      <c r="C36" s="287">
        <v>140000</v>
      </c>
      <c r="D36" s="288">
        <v>280000</v>
      </c>
      <c r="E36" s="211"/>
      <c r="F36" s="285">
        <v>33</v>
      </c>
      <c r="G36" s="286">
        <v>140000</v>
      </c>
      <c r="H36" s="287">
        <v>210000</v>
      </c>
      <c r="I36" s="288">
        <v>420000</v>
      </c>
      <c r="J36" s="211"/>
      <c r="K36" s="289">
        <v>33</v>
      </c>
      <c r="L36" s="287">
        <v>280000</v>
      </c>
      <c r="M36" s="288">
        <v>560000</v>
      </c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 spans="1:25" ht="15.75" customHeight="1" x14ac:dyDescent="0.15">
      <c r="A37" s="285">
        <v>34</v>
      </c>
      <c r="B37" s="286">
        <v>72500</v>
      </c>
      <c r="C37" s="287">
        <v>145000</v>
      </c>
      <c r="D37" s="288">
        <v>290000</v>
      </c>
      <c r="E37" s="211"/>
      <c r="F37" s="285">
        <v>34</v>
      </c>
      <c r="G37" s="286">
        <v>145000</v>
      </c>
      <c r="H37" s="287">
        <v>217500</v>
      </c>
      <c r="I37" s="288">
        <v>435000</v>
      </c>
      <c r="J37" s="211"/>
      <c r="K37" s="289">
        <v>34</v>
      </c>
      <c r="L37" s="287">
        <v>290000</v>
      </c>
      <c r="M37" s="288">
        <v>580000</v>
      </c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 spans="1:25" ht="15.75" customHeight="1" x14ac:dyDescent="0.15">
      <c r="A38" s="290">
        <v>35</v>
      </c>
      <c r="B38" s="291">
        <v>75000</v>
      </c>
      <c r="C38" s="292">
        <v>150000</v>
      </c>
      <c r="D38" s="293">
        <v>300000</v>
      </c>
      <c r="E38" s="211"/>
      <c r="F38" s="290">
        <v>35</v>
      </c>
      <c r="G38" s="291">
        <v>150000</v>
      </c>
      <c r="H38" s="292">
        <v>225000</v>
      </c>
      <c r="I38" s="293">
        <v>450000</v>
      </c>
      <c r="J38" s="211"/>
      <c r="K38" s="294">
        <v>35</v>
      </c>
      <c r="L38" s="292">
        <v>300000</v>
      </c>
      <c r="M38" s="293">
        <v>600000</v>
      </c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 spans="1:25" ht="15.75" customHeight="1" x14ac:dyDescent="0.15">
      <c r="A39" s="290">
        <v>36</v>
      </c>
      <c r="B39" s="291">
        <v>77500</v>
      </c>
      <c r="C39" s="292">
        <v>155000</v>
      </c>
      <c r="D39" s="293">
        <v>310000</v>
      </c>
      <c r="E39" s="211"/>
      <c r="F39" s="290">
        <v>36</v>
      </c>
      <c r="G39" s="291">
        <v>155000</v>
      </c>
      <c r="H39" s="292">
        <v>232500</v>
      </c>
      <c r="I39" s="293">
        <v>465000</v>
      </c>
      <c r="J39" s="211"/>
      <c r="K39" s="294">
        <v>36</v>
      </c>
      <c r="L39" s="292">
        <v>310000</v>
      </c>
      <c r="M39" s="293">
        <v>620000</v>
      </c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 spans="1:25" ht="15.75" customHeight="1" x14ac:dyDescent="0.15">
      <c r="A40" s="290">
        <v>37</v>
      </c>
      <c r="B40" s="291">
        <v>80000</v>
      </c>
      <c r="C40" s="292">
        <v>160000</v>
      </c>
      <c r="D40" s="293">
        <v>320000</v>
      </c>
      <c r="E40" s="211"/>
      <c r="F40" s="290">
        <v>37</v>
      </c>
      <c r="G40" s="291">
        <v>160000</v>
      </c>
      <c r="H40" s="292">
        <v>240000</v>
      </c>
      <c r="I40" s="293">
        <v>480000</v>
      </c>
      <c r="J40" s="211"/>
      <c r="K40" s="294">
        <v>37</v>
      </c>
      <c r="L40" s="292">
        <v>320000</v>
      </c>
      <c r="M40" s="293">
        <v>640000</v>
      </c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 spans="1:25" ht="15.75" customHeight="1" x14ac:dyDescent="0.15">
      <c r="A41" s="290">
        <v>38</v>
      </c>
      <c r="B41" s="291">
        <v>82500</v>
      </c>
      <c r="C41" s="292">
        <v>165000</v>
      </c>
      <c r="D41" s="293">
        <v>330000</v>
      </c>
      <c r="E41" s="211"/>
      <c r="F41" s="290">
        <v>38</v>
      </c>
      <c r="G41" s="291">
        <v>165000</v>
      </c>
      <c r="H41" s="292">
        <v>247500</v>
      </c>
      <c r="I41" s="293">
        <v>495000</v>
      </c>
      <c r="J41" s="211"/>
      <c r="K41" s="294">
        <v>38</v>
      </c>
      <c r="L41" s="292">
        <v>330000</v>
      </c>
      <c r="M41" s="293">
        <v>660000</v>
      </c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 spans="1:25" ht="15.75" customHeight="1" x14ac:dyDescent="0.15">
      <c r="A42" s="290">
        <v>39</v>
      </c>
      <c r="B42" s="291">
        <v>85000</v>
      </c>
      <c r="C42" s="292">
        <v>170000</v>
      </c>
      <c r="D42" s="293">
        <v>340000</v>
      </c>
      <c r="E42" s="211"/>
      <c r="F42" s="290">
        <v>39</v>
      </c>
      <c r="G42" s="291">
        <v>170000</v>
      </c>
      <c r="H42" s="292">
        <v>255000</v>
      </c>
      <c r="I42" s="293">
        <v>510000</v>
      </c>
      <c r="J42" s="211"/>
      <c r="K42" s="294">
        <v>39</v>
      </c>
      <c r="L42" s="292">
        <v>340000</v>
      </c>
      <c r="M42" s="293">
        <v>680000</v>
      </c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 spans="1:25" ht="15.75" customHeight="1" x14ac:dyDescent="0.15">
      <c r="A43" s="295">
        <v>40</v>
      </c>
      <c r="B43" s="296">
        <v>87500</v>
      </c>
      <c r="C43" s="297">
        <v>175000</v>
      </c>
      <c r="D43" s="298">
        <v>350000</v>
      </c>
      <c r="E43" s="211"/>
      <c r="F43" s="295">
        <v>40</v>
      </c>
      <c r="G43" s="296">
        <v>175000</v>
      </c>
      <c r="H43" s="297">
        <v>262500</v>
      </c>
      <c r="I43" s="298">
        <v>525000</v>
      </c>
      <c r="J43" s="211"/>
      <c r="K43" s="299">
        <v>40</v>
      </c>
      <c r="L43" s="297">
        <v>350000</v>
      </c>
      <c r="M43" s="298">
        <v>700000</v>
      </c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 spans="1:25" ht="15.75" customHeight="1" x14ac:dyDescent="0.15">
      <c r="A44" s="295">
        <v>41</v>
      </c>
      <c r="B44" s="296">
        <v>90000</v>
      </c>
      <c r="C44" s="297">
        <v>180000</v>
      </c>
      <c r="D44" s="298">
        <v>360000</v>
      </c>
      <c r="E44" s="211"/>
      <c r="F44" s="295">
        <v>41</v>
      </c>
      <c r="G44" s="296">
        <v>180000</v>
      </c>
      <c r="H44" s="297">
        <v>270000</v>
      </c>
      <c r="I44" s="298">
        <v>540000</v>
      </c>
      <c r="J44" s="211"/>
      <c r="K44" s="299">
        <v>41</v>
      </c>
      <c r="L44" s="297">
        <v>360000</v>
      </c>
      <c r="M44" s="298">
        <v>720000</v>
      </c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 spans="1:25" ht="15.75" customHeight="1" x14ac:dyDescent="0.15">
      <c r="A45" s="295">
        <v>42</v>
      </c>
      <c r="B45" s="296">
        <v>92500</v>
      </c>
      <c r="C45" s="297">
        <v>185000</v>
      </c>
      <c r="D45" s="298">
        <v>370000</v>
      </c>
      <c r="E45" s="211"/>
      <c r="F45" s="295">
        <v>42</v>
      </c>
      <c r="G45" s="296">
        <v>185000</v>
      </c>
      <c r="H45" s="297">
        <v>277500</v>
      </c>
      <c r="I45" s="298">
        <v>555000</v>
      </c>
      <c r="J45" s="211"/>
      <c r="K45" s="299">
        <v>42</v>
      </c>
      <c r="L45" s="297">
        <v>370000</v>
      </c>
      <c r="M45" s="298">
        <v>740000</v>
      </c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 spans="1:25" ht="15.75" customHeight="1" x14ac:dyDescent="0.15">
      <c r="A46" s="295">
        <v>43</v>
      </c>
      <c r="B46" s="296">
        <v>95000</v>
      </c>
      <c r="C46" s="297">
        <v>190000</v>
      </c>
      <c r="D46" s="298">
        <v>380000</v>
      </c>
      <c r="E46" s="211"/>
      <c r="F46" s="295">
        <v>43</v>
      </c>
      <c r="G46" s="296">
        <v>190000</v>
      </c>
      <c r="H46" s="297">
        <v>285000</v>
      </c>
      <c r="I46" s="298">
        <v>570000</v>
      </c>
      <c r="J46" s="211"/>
      <c r="K46" s="299">
        <v>43</v>
      </c>
      <c r="L46" s="297">
        <v>380000</v>
      </c>
      <c r="M46" s="298">
        <v>760000</v>
      </c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 spans="1:25" ht="15.75" customHeight="1" x14ac:dyDescent="0.15">
      <c r="A47" s="295">
        <v>44</v>
      </c>
      <c r="B47" s="296">
        <v>97500</v>
      </c>
      <c r="C47" s="297">
        <v>195000</v>
      </c>
      <c r="D47" s="298">
        <v>390000</v>
      </c>
      <c r="E47" s="211"/>
      <c r="F47" s="295">
        <v>44</v>
      </c>
      <c r="G47" s="296">
        <v>195000</v>
      </c>
      <c r="H47" s="297">
        <v>292500</v>
      </c>
      <c r="I47" s="298">
        <v>585000</v>
      </c>
      <c r="J47" s="211"/>
      <c r="K47" s="299">
        <v>44</v>
      </c>
      <c r="L47" s="297">
        <v>390000</v>
      </c>
      <c r="M47" s="298">
        <v>780000</v>
      </c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 spans="1:25" ht="15.75" customHeight="1" x14ac:dyDescent="0.15">
      <c r="A48" s="300">
        <v>45</v>
      </c>
      <c r="B48" s="301">
        <v>100000</v>
      </c>
      <c r="C48" s="302">
        <v>200000</v>
      </c>
      <c r="D48" s="303">
        <v>400000</v>
      </c>
      <c r="E48" s="211"/>
      <c r="F48" s="300">
        <v>45</v>
      </c>
      <c r="G48" s="301">
        <v>200000</v>
      </c>
      <c r="H48" s="302">
        <v>300000</v>
      </c>
      <c r="I48" s="303">
        <v>600000</v>
      </c>
      <c r="J48" s="211"/>
      <c r="K48" s="304">
        <v>45</v>
      </c>
      <c r="L48" s="302">
        <v>400000</v>
      </c>
      <c r="M48" s="303">
        <v>800000</v>
      </c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 spans="1:25" ht="15.75" customHeight="1" x14ac:dyDescent="0.15">
      <c r="A49" s="300">
        <v>46</v>
      </c>
      <c r="B49" s="301">
        <v>102500</v>
      </c>
      <c r="C49" s="302">
        <v>205000</v>
      </c>
      <c r="D49" s="303">
        <v>410000</v>
      </c>
      <c r="E49" s="211"/>
      <c r="F49" s="300">
        <v>46</v>
      </c>
      <c r="G49" s="301">
        <v>205000</v>
      </c>
      <c r="H49" s="302">
        <v>307500</v>
      </c>
      <c r="I49" s="303">
        <v>615000</v>
      </c>
      <c r="J49" s="211"/>
      <c r="K49" s="304">
        <v>46</v>
      </c>
      <c r="L49" s="302">
        <v>410000</v>
      </c>
      <c r="M49" s="303">
        <v>820000</v>
      </c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 spans="1:25" ht="15.75" customHeight="1" x14ac:dyDescent="0.15">
      <c r="A50" s="300">
        <v>47</v>
      </c>
      <c r="B50" s="301">
        <v>105000</v>
      </c>
      <c r="C50" s="302">
        <v>210000</v>
      </c>
      <c r="D50" s="303">
        <v>420000</v>
      </c>
      <c r="E50" s="211"/>
      <c r="F50" s="300">
        <v>47</v>
      </c>
      <c r="G50" s="301">
        <v>210000</v>
      </c>
      <c r="H50" s="302">
        <v>315000</v>
      </c>
      <c r="I50" s="303">
        <v>630000</v>
      </c>
      <c r="J50" s="211"/>
      <c r="K50" s="304">
        <v>47</v>
      </c>
      <c r="L50" s="302">
        <v>420000</v>
      </c>
      <c r="M50" s="303">
        <v>840000</v>
      </c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 spans="1:25" ht="15.75" customHeight="1" x14ac:dyDescent="0.15">
      <c r="A51" s="300">
        <v>48</v>
      </c>
      <c r="B51" s="301">
        <v>107500</v>
      </c>
      <c r="C51" s="302">
        <v>215000</v>
      </c>
      <c r="D51" s="303">
        <v>430000</v>
      </c>
      <c r="E51" s="211"/>
      <c r="F51" s="300">
        <v>48</v>
      </c>
      <c r="G51" s="301">
        <v>215000</v>
      </c>
      <c r="H51" s="302">
        <v>322500</v>
      </c>
      <c r="I51" s="303">
        <v>645000</v>
      </c>
      <c r="J51" s="211"/>
      <c r="K51" s="304">
        <v>48</v>
      </c>
      <c r="L51" s="302">
        <v>430000</v>
      </c>
      <c r="M51" s="303">
        <v>860000</v>
      </c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 spans="1:25" ht="15.75" customHeight="1" x14ac:dyDescent="0.15">
      <c r="A52" s="300">
        <v>49</v>
      </c>
      <c r="B52" s="301">
        <v>110000</v>
      </c>
      <c r="C52" s="302">
        <v>220000</v>
      </c>
      <c r="D52" s="303">
        <v>440000</v>
      </c>
      <c r="E52" s="211"/>
      <c r="F52" s="300">
        <v>49</v>
      </c>
      <c r="G52" s="301">
        <v>220000</v>
      </c>
      <c r="H52" s="302">
        <v>330000</v>
      </c>
      <c r="I52" s="303">
        <v>660000</v>
      </c>
      <c r="J52" s="211"/>
      <c r="K52" s="304">
        <v>49</v>
      </c>
      <c r="L52" s="302">
        <v>440000</v>
      </c>
      <c r="M52" s="303">
        <v>880000</v>
      </c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 spans="1:25" ht="15.75" customHeight="1" x14ac:dyDescent="0.15">
      <c r="A53" s="305">
        <v>50</v>
      </c>
      <c r="B53" s="209">
        <v>112500</v>
      </c>
      <c r="C53" s="210">
        <v>225000</v>
      </c>
      <c r="D53" s="306">
        <v>450000</v>
      </c>
      <c r="E53" s="211"/>
      <c r="F53" s="305">
        <v>50</v>
      </c>
      <c r="G53" s="209">
        <v>225000</v>
      </c>
      <c r="H53" s="210">
        <v>337500</v>
      </c>
      <c r="I53" s="306">
        <v>675000</v>
      </c>
      <c r="J53" s="211"/>
      <c r="K53" s="307">
        <v>50</v>
      </c>
      <c r="L53" s="210">
        <v>450000</v>
      </c>
      <c r="M53" s="306">
        <v>900000</v>
      </c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 spans="1:25" ht="15.75" customHeight="1" x14ac:dyDescent="0.15">
      <c r="A54" s="305">
        <v>51</v>
      </c>
      <c r="B54" s="209">
        <v>115000</v>
      </c>
      <c r="C54" s="210">
        <v>230000</v>
      </c>
      <c r="D54" s="306">
        <v>460000</v>
      </c>
      <c r="E54" s="211"/>
      <c r="F54" s="305">
        <v>51</v>
      </c>
      <c r="G54" s="209">
        <v>230000</v>
      </c>
      <c r="H54" s="210">
        <v>345000</v>
      </c>
      <c r="I54" s="306">
        <v>690000</v>
      </c>
      <c r="J54" s="211"/>
      <c r="K54" s="307">
        <v>51</v>
      </c>
      <c r="L54" s="210">
        <v>460000</v>
      </c>
      <c r="M54" s="306">
        <v>920000</v>
      </c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 spans="1:25" ht="15.75" customHeight="1" x14ac:dyDescent="0.15">
      <c r="A55" s="305">
        <v>52</v>
      </c>
      <c r="B55" s="209">
        <v>117500</v>
      </c>
      <c r="C55" s="210">
        <v>235000</v>
      </c>
      <c r="D55" s="306">
        <v>470000</v>
      </c>
      <c r="E55" s="211"/>
      <c r="F55" s="305">
        <v>52</v>
      </c>
      <c r="G55" s="209">
        <v>235000</v>
      </c>
      <c r="H55" s="210">
        <v>352500</v>
      </c>
      <c r="I55" s="306">
        <v>705000</v>
      </c>
      <c r="J55" s="211"/>
      <c r="K55" s="307">
        <v>52</v>
      </c>
      <c r="L55" s="210">
        <v>470000</v>
      </c>
      <c r="M55" s="306">
        <v>940000</v>
      </c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 spans="1:25" ht="15.75" customHeight="1" x14ac:dyDescent="0.15">
      <c r="A56" s="305">
        <v>53</v>
      </c>
      <c r="B56" s="209">
        <v>120000</v>
      </c>
      <c r="C56" s="210">
        <v>240000</v>
      </c>
      <c r="D56" s="306">
        <v>480000</v>
      </c>
      <c r="E56" s="211"/>
      <c r="F56" s="305">
        <v>53</v>
      </c>
      <c r="G56" s="209">
        <v>240000</v>
      </c>
      <c r="H56" s="210">
        <v>360000</v>
      </c>
      <c r="I56" s="306">
        <v>720000</v>
      </c>
      <c r="J56" s="211"/>
      <c r="K56" s="307">
        <v>53</v>
      </c>
      <c r="L56" s="210">
        <v>480000</v>
      </c>
      <c r="M56" s="306">
        <v>960000</v>
      </c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 spans="1:25" ht="15.75" customHeight="1" x14ac:dyDescent="0.15">
      <c r="A57" s="305">
        <v>54</v>
      </c>
      <c r="B57" s="209">
        <v>122500</v>
      </c>
      <c r="C57" s="210">
        <v>245000</v>
      </c>
      <c r="D57" s="306">
        <v>490000</v>
      </c>
      <c r="E57" s="211"/>
      <c r="F57" s="305">
        <v>54</v>
      </c>
      <c r="G57" s="209">
        <v>245000</v>
      </c>
      <c r="H57" s="210">
        <v>367500</v>
      </c>
      <c r="I57" s="306">
        <v>735000</v>
      </c>
      <c r="J57" s="211"/>
      <c r="K57" s="307">
        <v>54</v>
      </c>
      <c r="L57" s="210">
        <v>490000</v>
      </c>
      <c r="M57" s="306">
        <v>980000</v>
      </c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 spans="1:25" ht="15.75" customHeight="1" x14ac:dyDescent="0.15">
      <c r="A58" s="308">
        <v>55</v>
      </c>
      <c r="B58" s="309">
        <v>125000</v>
      </c>
      <c r="C58" s="310">
        <v>250000</v>
      </c>
      <c r="D58" s="311">
        <v>500000</v>
      </c>
      <c r="E58" s="211"/>
      <c r="F58" s="308">
        <v>55</v>
      </c>
      <c r="G58" s="309">
        <v>250000</v>
      </c>
      <c r="H58" s="310">
        <v>375000</v>
      </c>
      <c r="I58" s="311">
        <v>750000</v>
      </c>
      <c r="J58" s="211"/>
      <c r="K58" s="312">
        <v>55</v>
      </c>
      <c r="L58" s="310">
        <v>500000</v>
      </c>
      <c r="M58" s="311">
        <v>1000000</v>
      </c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 spans="1:25" ht="15.75" customHeight="1" x14ac:dyDescent="0.15">
      <c r="A59" s="308">
        <v>56</v>
      </c>
      <c r="B59" s="309">
        <v>127500</v>
      </c>
      <c r="C59" s="310">
        <v>255000</v>
      </c>
      <c r="D59" s="311">
        <v>510000</v>
      </c>
      <c r="E59" s="211"/>
      <c r="F59" s="308">
        <v>56</v>
      </c>
      <c r="G59" s="309">
        <v>255000</v>
      </c>
      <c r="H59" s="310">
        <v>382500</v>
      </c>
      <c r="I59" s="311">
        <v>765000</v>
      </c>
      <c r="J59" s="211"/>
      <c r="K59" s="312">
        <v>56</v>
      </c>
      <c r="L59" s="310">
        <v>510000</v>
      </c>
      <c r="M59" s="311">
        <v>1020000</v>
      </c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 spans="1:25" ht="15.75" customHeight="1" x14ac:dyDescent="0.15">
      <c r="A60" s="308">
        <v>57</v>
      </c>
      <c r="B60" s="309">
        <v>130000</v>
      </c>
      <c r="C60" s="310">
        <v>260000</v>
      </c>
      <c r="D60" s="311">
        <v>520000</v>
      </c>
      <c r="E60" s="211"/>
      <c r="F60" s="308">
        <v>57</v>
      </c>
      <c r="G60" s="309">
        <v>260000</v>
      </c>
      <c r="H60" s="310">
        <v>390000</v>
      </c>
      <c r="I60" s="311">
        <v>780000</v>
      </c>
      <c r="J60" s="211"/>
      <c r="K60" s="312">
        <v>57</v>
      </c>
      <c r="L60" s="310">
        <v>520000</v>
      </c>
      <c r="M60" s="311">
        <v>1040000</v>
      </c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 spans="1:25" ht="15.75" customHeight="1" x14ac:dyDescent="0.15">
      <c r="A61" s="308">
        <v>58</v>
      </c>
      <c r="B61" s="309">
        <v>132500</v>
      </c>
      <c r="C61" s="310">
        <v>265000</v>
      </c>
      <c r="D61" s="311">
        <v>530000</v>
      </c>
      <c r="E61" s="211"/>
      <c r="F61" s="308">
        <v>58</v>
      </c>
      <c r="G61" s="309">
        <v>265000</v>
      </c>
      <c r="H61" s="310">
        <v>397500</v>
      </c>
      <c r="I61" s="311">
        <v>795000</v>
      </c>
      <c r="J61" s="211"/>
      <c r="K61" s="312">
        <v>58</v>
      </c>
      <c r="L61" s="310">
        <v>530000</v>
      </c>
      <c r="M61" s="311">
        <v>1060000</v>
      </c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 spans="1:25" ht="15.75" customHeight="1" x14ac:dyDescent="0.15">
      <c r="A62" s="308">
        <v>59</v>
      </c>
      <c r="B62" s="309">
        <v>135000</v>
      </c>
      <c r="C62" s="310">
        <v>270000</v>
      </c>
      <c r="D62" s="311">
        <v>540000</v>
      </c>
      <c r="E62" s="211"/>
      <c r="F62" s="308">
        <v>59</v>
      </c>
      <c r="G62" s="309">
        <v>270000</v>
      </c>
      <c r="H62" s="310">
        <v>405000</v>
      </c>
      <c r="I62" s="311">
        <v>810000</v>
      </c>
      <c r="J62" s="211"/>
      <c r="K62" s="312">
        <v>59</v>
      </c>
      <c r="L62" s="310">
        <v>540000</v>
      </c>
      <c r="M62" s="311">
        <v>1080000</v>
      </c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 spans="1:25" ht="15.75" customHeight="1" x14ac:dyDescent="0.15">
      <c r="A63" s="313">
        <v>60</v>
      </c>
      <c r="B63" s="314" t="s">
        <v>113</v>
      </c>
      <c r="C63" s="315" t="s">
        <v>113</v>
      </c>
      <c r="D63" s="316" t="s">
        <v>113</v>
      </c>
      <c r="E63" s="211"/>
      <c r="F63" s="313">
        <v>60</v>
      </c>
      <c r="G63" s="314" t="s">
        <v>113</v>
      </c>
      <c r="H63" s="315" t="s">
        <v>113</v>
      </c>
      <c r="I63" s="316" t="s">
        <v>113</v>
      </c>
      <c r="J63" s="211"/>
      <c r="K63" s="317">
        <v>60</v>
      </c>
      <c r="L63" s="315" t="s">
        <v>113</v>
      </c>
      <c r="M63" s="316" t="s">
        <v>113</v>
      </c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 spans="1:25" ht="15.75" customHeight="1" x14ac:dyDescent="0.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 spans="1:25" ht="15.75" customHeight="1" x14ac:dyDescent="0.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 spans="1:25" ht="15.75" customHeight="1" x14ac:dyDescent="0.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 spans="1:25" ht="15.75" customHeight="1" x14ac:dyDescent="0.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 spans="1:25" ht="15.75" customHeight="1" x14ac:dyDescent="0.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 spans="1:25" ht="15.75" customHeight="1" x14ac:dyDescent="0.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 spans="1:25" ht="15.75" customHeight="1" x14ac:dyDescent="0.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 spans="1:25" ht="15.75" customHeight="1" x14ac:dyDescent="0.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 spans="1:25" ht="15.75" customHeight="1" x14ac:dyDescent="0.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 spans="1:25" ht="15.75" customHeight="1" x14ac:dyDescent="0.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 spans="1:25" ht="15.75" customHeight="1" x14ac:dyDescent="0.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 spans="1:25" ht="15.75" customHeight="1" x14ac:dyDescent="0.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 spans="1:25" ht="15.75" customHeight="1" x14ac:dyDescent="0.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 spans="1:25" ht="15.75" customHeight="1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 spans="1:25" ht="15.75" customHeight="1" x14ac:dyDescent="0.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 spans="1:25" ht="15.75" customHeight="1" x14ac:dyDescent="0.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 spans="1:25" ht="15.75" customHeight="1" x14ac:dyDescent="0.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 spans="1:25" ht="15.75" customHeight="1" x14ac:dyDescent="0.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 spans="1:25" ht="15.75" customHeight="1" x14ac:dyDescent="0.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 spans="1:25" ht="15.75" customHeight="1" x14ac:dyDescent="0.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 spans="1:25" ht="15.75" customHeight="1" x14ac:dyDescent="0.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 spans="1:25" ht="15.75" customHeight="1" x14ac:dyDescent="0.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 spans="1:25" ht="15.75" customHeight="1" x14ac:dyDescent="0.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 spans="1:25" ht="15.75" customHeight="1" x14ac:dyDescent="0.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 spans="1:25" ht="15.75" customHeight="1" x14ac:dyDescent="0.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 spans="1:25" ht="15.75" customHeight="1" x14ac:dyDescent="0.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 spans="1:25" ht="15.75" customHeight="1" x14ac:dyDescent="0.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 spans="1:25" ht="15.75" customHeight="1" x14ac:dyDescent="0.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 spans="1:25" ht="15.75" customHeight="1" x14ac:dyDescent="0.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 spans="1:25" ht="15.75" customHeight="1" x14ac:dyDescent="0.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 spans="1:25" ht="15.75" customHeight="1" x14ac:dyDescent="0.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 spans="1:25" ht="15.75" customHeight="1" x14ac:dyDescent="0.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 spans="1:25" ht="15.75" customHeight="1" x14ac:dyDescent="0.1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 spans="1:25" ht="15.75" customHeight="1" x14ac:dyDescent="0.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 spans="1:25" ht="15.75" customHeight="1" x14ac:dyDescent="0.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 spans="1:25" ht="15.75" customHeight="1" x14ac:dyDescent="0.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 spans="1:25" ht="15.75" customHeight="1" x14ac:dyDescent="0.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 spans="1:25" ht="15.75" customHeight="1" x14ac:dyDescent="0.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 spans="1:25" ht="15.75" customHeight="1" x14ac:dyDescent="0.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 spans="1:25" ht="15.75" customHeight="1" x14ac:dyDescent="0.1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 spans="1:25" ht="15.75" customHeight="1" x14ac:dyDescent="0.1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 spans="1:25" ht="15.75" customHeight="1" x14ac:dyDescent="0.1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 spans="1:25" ht="15.75" customHeight="1" x14ac:dyDescent="0.1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 spans="1:25" ht="15.75" customHeight="1" x14ac:dyDescent="0.1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 spans="1:25" ht="15.75" customHeight="1" x14ac:dyDescent="0.1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 spans="1:25" ht="15.75" customHeight="1" x14ac:dyDescent="0.1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 spans="1:25" ht="15.75" customHeight="1" x14ac:dyDescent="0.1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 spans="1:25" ht="15.75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 spans="1:25" ht="15.75" customHeight="1" x14ac:dyDescent="0.1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 spans="1:25" ht="15.75" customHeight="1" x14ac:dyDescent="0.1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 spans="1:25" ht="15.75" customHeight="1" x14ac:dyDescent="0.1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 spans="1:25" ht="15.75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 spans="1:25" ht="15.75" customHeight="1" x14ac:dyDescent="0.1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 spans="1:25" ht="15.75" customHeight="1" x14ac:dyDescent="0.1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 spans="1:25" ht="15.75" customHeight="1" x14ac:dyDescent="0.1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 spans="1:25" ht="15.75" customHeight="1" x14ac:dyDescent="0.1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 spans="1:25" ht="15.75" customHeight="1" x14ac:dyDescent="0.1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 spans="1:25" ht="15.75" customHeight="1" x14ac:dyDescent="0.1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 spans="1:25" ht="15.75" customHeight="1" x14ac:dyDescent="0.1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 spans="1:25" ht="15.75" customHeight="1" x14ac:dyDescent="0.1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 spans="1:25" ht="15.75" customHeight="1" x14ac:dyDescent="0.1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 spans="1:25" ht="15.75" customHeight="1" x14ac:dyDescent="0.1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 spans="1:25" ht="15.75" customHeight="1" x14ac:dyDescent="0.1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 spans="1:25" ht="15.75" customHeight="1" x14ac:dyDescent="0.1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 spans="1:25" ht="15.75" customHeight="1" x14ac:dyDescent="0.1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 spans="1:25" ht="15.75" customHeight="1" x14ac:dyDescent="0.1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 spans="1:25" ht="15.75" customHeight="1" x14ac:dyDescent="0.1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 spans="1:25" ht="15.75" customHeight="1" x14ac:dyDescent="0.1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 spans="1:25" ht="15.75" customHeight="1" x14ac:dyDescent="0.1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 spans="1:25" ht="15.75" customHeight="1" x14ac:dyDescent="0.1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 spans="1:25" ht="15.75" customHeight="1" x14ac:dyDescent="0.1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 spans="1:25" ht="15.75" customHeight="1" x14ac:dyDescent="0.1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 spans="1:25" ht="15.75" customHeight="1" x14ac:dyDescent="0.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 spans="1:25" ht="15.75" customHeight="1" x14ac:dyDescent="0.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 spans="1:25" ht="15.75" customHeight="1" x14ac:dyDescent="0.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 spans="1:25" ht="15.75" customHeight="1" x14ac:dyDescent="0.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 spans="1:25" ht="15.75" customHeight="1" x14ac:dyDescent="0.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 spans="1:25" ht="15.75" customHeight="1" x14ac:dyDescent="0.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 spans="1:25" ht="15.75" customHeight="1" x14ac:dyDescent="0.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 spans="1:25" ht="15.75" customHeight="1" x14ac:dyDescent="0.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 spans="1:25" ht="15.75" customHeight="1" x14ac:dyDescent="0.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 spans="1:25" ht="15.75" customHeight="1" x14ac:dyDescent="0.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 spans="1:25" ht="15.75" customHeight="1" x14ac:dyDescent="0.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 spans="1:25" ht="15.75" customHeight="1" x14ac:dyDescent="0.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 spans="1:25" ht="15.75" customHeight="1" x14ac:dyDescent="0.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 spans="1:25" ht="15.75" customHeight="1" x14ac:dyDescent="0.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 spans="1:25" ht="15.75" customHeight="1" x14ac:dyDescent="0.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 spans="1:25" ht="15.75" customHeight="1" x14ac:dyDescent="0.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 spans="1:25" ht="15.75" customHeight="1" x14ac:dyDescent="0.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 spans="1:25" ht="15.75" customHeight="1" x14ac:dyDescent="0.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 spans="1:25" ht="15.75" customHeight="1" x14ac:dyDescent="0.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 spans="1:25" ht="15.75" customHeight="1" x14ac:dyDescent="0.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 spans="1:25" ht="15.75" customHeight="1" x14ac:dyDescent="0.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 spans="1:25" ht="15.75" customHeight="1" x14ac:dyDescent="0.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 spans="1:25" ht="15.75" customHeight="1" x14ac:dyDescent="0.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 spans="1:25" ht="15.75" customHeight="1" x14ac:dyDescent="0.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 spans="1:25" ht="15.75" customHeight="1" x14ac:dyDescent="0.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 spans="1:25" ht="15.75" customHeight="1" x14ac:dyDescent="0.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 spans="1:25" ht="15.75" customHeight="1" x14ac:dyDescent="0.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 spans="1:25" ht="15.75" customHeight="1" x14ac:dyDescent="0.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 spans="1:25" ht="15.75" customHeight="1" x14ac:dyDescent="0.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 spans="1:25" ht="15.75" customHeight="1" x14ac:dyDescent="0.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 spans="1:25" ht="15.75" customHeight="1" x14ac:dyDescent="0.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 spans="1:25" ht="15.75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 spans="1:25" ht="15.75" customHeight="1" x14ac:dyDescent="0.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 spans="1:25" ht="15.75" customHeight="1" x14ac:dyDescent="0.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 spans="1:25" ht="15.75" customHeight="1" x14ac:dyDescent="0.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 spans="1:25" ht="15.75" customHeight="1" x14ac:dyDescent="0.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 spans="1:25" ht="15.75" customHeight="1" x14ac:dyDescent="0.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 spans="1:25" ht="15.75" customHeight="1" x14ac:dyDescent="0.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 spans="1:25" ht="15.75" customHeight="1" x14ac:dyDescent="0.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 spans="1:25" ht="15.75" customHeight="1" x14ac:dyDescent="0.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 spans="1:25" ht="15.75" customHeight="1" x14ac:dyDescent="0.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 spans="1:25" ht="15.75" customHeight="1" x14ac:dyDescent="0.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 spans="1:25" ht="15.75" customHeight="1" x14ac:dyDescent="0.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 spans="1:25" ht="15.75" customHeight="1" x14ac:dyDescent="0.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 spans="1:25" ht="15.75" customHeight="1" x14ac:dyDescent="0.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 spans="1:25" ht="15.75" customHeight="1" x14ac:dyDescent="0.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 spans="1:25" ht="15.75" customHeight="1" x14ac:dyDescent="0.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 spans="1:25" ht="15.75" customHeight="1" x14ac:dyDescent="0.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 spans="1:25" ht="15.75" customHeight="1" x14ac:dyDescent="0.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 spans="1:25" ht="15.75" customHeight="1" x14ac:dyDescent="0.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 spans="1:25" ht="15.75" customHeight="1" x14ac:dyDescent="0.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 spans="1:25" ht="15.75" customHeight="1" x14ac:dyDescent="0.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 spans="1:25" ht="15.75" customHeight="1" x14ac:dyDescent="0.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 spans="1:25" ht="15.75" customHeight="1" x14ac:dyDescent="0.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 spans="1:25" ht="15.75" customHeight="1" x14ac:dyDescent="0.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 spans="1:25" ht="15.75" customHeight="1" x14ac:dyDescent="0.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 spans="1:25" ht="15.75" customHeight="1" x14ac:dyDescent="0.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 spans="1:25" ht="15.75" customHeight="1" x14ac:dyDescent="0.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 spans="1:25" ht="15.75" customHeight="1" x14ac:dyDescent="0.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 spans="1:25" ht="15.75" customHeight="1" x14ac:dyDescent="0.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 spans="1:25" ht="15.75" customHeight="1" x14ac:dyDescent="0.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 spans="1:25" ht="15.75" customHeight="1" x14ac:dyDescent="0.1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 spans="1:25" ht="15.75" customHeight="1" x14ac:dyDescent="0.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 spans="1:25" ht="15.75" customHeight="1" x14ac:dyDescent="0.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 spans="1:25" ht="15.75" customHeight="1" x14ac:dyDescent="0.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 spans="1:25" ht="15.75" customHeight="1" x14ac:dyDescent="0.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 spans="1:25" ht="15.75" customHeight="1" x14ac:dyDescent="0.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 spans="1:25" ht="15.75" customHeight="1" x14ac:dyDescent="0.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 spans="1:25" ht="15.75" customHeight="1" x14ac:dyDescent="0.1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 spans="1:25" ht="15.75" customHeight="1" x14ac:dyDescent="0.1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 spans="1:25" ht="15.75" customHeight="1" x14ac:dyDescent="0.1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 spans="1:25" ht="15.75" customHeight="1" x14ac:dyDescent="0.1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 spans="1:25" ht="15.75" customHeight="1" x14ac:dyDescent="0.1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 spans="1:25" ht="15.75" customHeight="1" x14ac:dyDescent="0.1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 spans="1:25" ht="15.75" customHeight="1" x14ac:dyDescent="0.1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 spans="1:25" ht="15.75" customHeight="1" x14ac:dyDescent="0.1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 spans="1:25" ht="15.75" customHeight="1" x14ac:dyDescent="0.1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 spans="1:25" ht="15.75" customHeight="1" x14ac:dyDescent="0.1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 spans="1:25" ht="15.75" customHeight="1" x14ac:dyDescent="0.1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 spans="1:25" ht="15.75" customHeight="1" x14ac:dyDescent="0.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 spans="1:25" ht="15.75" customHeight="1" x14ac:dyDescent="0.1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 spans="1:25" ht="15.75" customHeight="1" x14ac:dyDescent="0.1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 spans="1:25" ht="15.75" customHeight="1" x14ac:dyDescent="0.1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 spans="1:25" ht="15.75" customHeight="1" x14ac:dyDescent="0.1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 spans="1:25" ht="15.75" customHeight="1" x14ac:dyDescent="0.1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 spans="1:25" ht="15.75" customHeight="1" x14ac:dyDescent="0.1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 spans="1:25" ht="15.75" customHeight="1" x14ac:dyDescent="0.1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 spans="1:25" ht="15.75" customHeight="1" x14ac:dyDescent="0.1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 spans="1:25" ht="15.75" customHeight="1" x14ac:dyDescent="0.1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 spans="1:25" ht="15.75" customHeight="1" x14ac:dyDescent="0.1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 spans="1:25" ht="15.75" customHeight="1" x14ac:dyDescent="0.1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 spans="1:25" ht="15.75" customHeight="1" x14ac:dyDescent="0.1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 spans="1:25" ht="15.75" customHeight="1" x14ac:dyDescent="0.1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 spans="1:25" ht="15.75" customHeight="1" x14ac:dyDescent="0.1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 spans="1:25" ht="15.75" customHeight="1" x14ac:dyDescent="0.1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 spans="1:25" ht="15.75" customHeight="1" x14ac:dyDescent="0.1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 spans="1:25" ht="15.75" customHeight="1" x14ac:dyDescent="0.1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 spans="1:25" ht="15.75" customHeight="1" x14ac:dyDescent="0.1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 spans="1:25" ht="15.75" customHeight="1" x14ac:dyDescent="0.1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 spans="1:25" ht="15.75" customHeight="1" x14ac:dyDescent="0.1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 spans="1:25" ht="15.75" customHeight="1" x14ac:dyDescent="0.1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 spans="1:25" ht="15.75" customHeight="1" x14ac:dyDescent="0.1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 spans="1:25" ht="15.75" customHeight="1" x14ac:dyDescent="0.1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 spans="1:25" ht="15.75" customHeight="1" x14ac:dyDescent="0.1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 spans="1:25" ht="15.75" customHeight="1" x14ac:dyDescent="0.1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 spans="1:25" ht="15.75" customHeight="1" x14ac:dyDescent="0.1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 spans="1:25" ht="15.75" customHeight="1" x14ac:dyDescent="0.1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 spans="1:25" ht="15.75" customHeight="1" x14ac:dyDescent="0.1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 spans="1:25" ht="15.75" customHeight="1" x14ac:dyDescent="0.1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 spans="1:25" ht="15.75" customHeight="1" x14ac:dyDescent="0.1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 spans="1:25" ht="15.75" customHeight="1" x14ac:dyDescent="0.1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 spans="1:25" ht="15.75" customHeight="1" x14ac:dyDescent="0.15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 spans="1:25" ht="15.75" customHeight="1" x14ac:dyDescent="0.15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 spans="1:25" ht="15.75" customHeight="1" x14ac:dyDescent="0.15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 spans="1:25" ht="15.75" customHeight="1" x14ac:dyDescent="0.15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 spans="1:25" ht="15.75" customHeight="1" x14ac:dyDescent="0.15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 spans="1:25" ht="15.75" customHeight="1" x14ac:dyDescent="0.15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 spans="1:25" ht="15.75" customHeight="1" x14ac:dyDescent="0.15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 spans="1:25" ht="15.75" customHeight="1" x14ac:dyDescent="0.15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 spans="1:25" ht="15.75" customHeight="1" x14ac:dyDescent="0.1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 spans="1:25" ht="15.75" customHeight="1" x14ac:dyDescent="0.15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 spans="1:25" ht="15.75" customHeight="1" x14ac:dyDescent="0.15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 spans="1:25" ht="15.75" customHeight="1" x14ac:dyDescent="0.15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 spans="1:25" ht="15.75" customHeight="1" x14ac:dyDescent="0.15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 spans="1:25" ht="15.75" customHeight="1" x14ac:dyDescent="0.15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 spans="1:25" ht="15.75" customHeight="1" x14ac:dyDescent="0.15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 spans="1:25" ht="15.75" customHeight="1" x14ac:dyDescent="0.15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 spans="1:25" ht="15.75" customHeight="1" x14ac:dyDescent="0.15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 spans="1:25" ht="15.75" customHeight="1" x14ac:dyDescent="0.15"/>
    <row r="265" spans="1:25" ht="15.75" customHeight="1" x14ac:dyDescent="0.15"/>
    <row r="266" spans="1:25" ht="15.75" customHeight="1" x14ac:dyDescent="0.15"/>
    <row r="267" spans="1:25" ht="15.75" customHeight="1" x14ac:dyDescent="0.15"/>
    <row r="268" spans="1:25" ht="15.75" customHeight="1" x14ac:dyDescent="0.15"/>
    <row r="269" spans="1:25" ht="15.75" customHeight="1" x14ac:dyDescent="0.15"/>
    <row r="270" spans="1:25" ht="15.75" customHeight="1" x14ac:dyDescent="0.15"/>
    <row r="271" spans="1:25" ht="15.75" customHeight="1" x14ac:dyDescent="0.15"/>
    <row r="272" spans="1:25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S2:U2"/>
    <mergeCell ref="V2:W2"/>
    <mergeCell ref="A1:B1"/>
    <mergeCell ref="A2:D2"/>
    <mergeCell ref="F2:I2"/>
    <mergeCell ref="K2:M2"/>
    <mergeCell ref="P2:R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5.1640625" customWidth="1"/>
    <col min="2" max="2" width="7.33203125" customWidth="1"/>
    <col min="3" max="3" width="5.1640625" customWidth="1"/>
    <col min="4" max="4" width="7.33203125" customWidth="1"/>
    <col min="5" max="5" width="5.1640625" customWidth="1"/>
    <col min="6" max="6" width="7.33203125" customWidth="1"/>
    <col min="7" max="7" width="5.1640625" customWidth="1"/>
    <col min="8" max="8" width="7.33203125" customWidth="1"/>
    <col min="9" max="9" width="5.1640625" customWidth="1"/>
    <col min="10" max="10" width="7.33203125" customWidth="1"/>
    <col min="11" max="11" width="6.6640625" customWidth="1"/>
    <col min="12" max="12" width="8.1640625" customWidth="1"/>
    <col min="13" max="13" width="9.5" customWidth="1"/>
    <col min="14" max="14" width="9" customWidth="1"/>
    <col min="15" max="15" width="9.5" customWidth="1"/>
    <col min="16" max="16" width="9" customWidth="1"/>
    <col min="17" max="26" width="6.6640625" customWidth="1"/>
  </cols>
  <sheetData>
    <row r="1" spans="1:26" ht="15.75" customHeight="1" x14ac:dyDescent="0.15">
      <c r="A1" s="101" t="s">
        <v>214</v>
      </c>
      <c r="B1" s="101"/>
      <c r="C1" s="101"/>
      <c r="D1" s="318"/>
      <c r="E1" s="318"/>
      <c r="F1" s="318"/>
      <c r="G1" s="318"/>
      <c r="H1" s="318"/>
      <c r="I1" s="318"/>
      <c r="J1" s="318"/>
      <c r="K1" s="318"/>
      <c r="L1" s="101" t="s">
        <v>215</v>
      </c>
      <c r="M1" s="101"/>
      <c r="N1" s="101"/>
      <c r="O1" s="101"/>
      <c r="P1" s="318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15.75" customHeight="1" x14ac:dyDescent="0.15">
      <c r="A2" s="319" t="s">
        <v>100</v>
      </c>
      <c r="B2" s="320" t="s">
        <v>216</v>
      </c>
      <c r="C2" s="321" t="s">
        <v>100</v>
      </c>
      <c r="D2" s="321" t="s">
        <v>216</v>
      </c>
      <c r="E2" s="322" t="s">
        <v>100</v>
      </c>
      <c r="F2" s="322" t="s">
        <v>216</v>
      </c>
      <c r="G2" s="323" t="s">
        <v>100</v>
      </c>
      <c r="H2" s="323" t="s">
        <v>216</v>
      </c>
      <c r="I2" s="324" t="s">
        <v>100</v>
      </c>
      <c r="J2" s="325" t="s">
        <v>216</v>
      </c>
      <c r="K2" s="326"/>
      <c r="L2" s="327" t="s">
        <v>205</v>
      </c>
      <c r="M2" s="327" t="s">
        <v>216</v>
      </c>
      <c r="N2" s="328" t="s">
        <v>98</v>
      </c>
      <c r="O2" s="329" t="s">
        <v>217</v>
      </c>
      <c r="P2" s="330" t="s">
        <v>218</v>
      </c>
      <c r="Q2" s="331"/>
      <c r="R2" s="331"/>
      <c r="S2" s="331"/>
      <c r="T2" s="331"/>
      <c r="U2" s="331"/>
      <c r="V2" s="331"/>
      <c r="W2" s="331"/>
      <c r="X2" s="331"/>
      <c r="Y2" s="331"/>
      <c r="Z2" s="331"/>
    </row>
    <row r="3" spans="1:26" ht="15.75" customHeight="1" x14ac:dyDescent="0.15">
      <c r="A3" s="332"/>
      <c r="B3" s="333"/>
      <c r="C3" s="334">
        <v>30</v>
      </c>
      <c r="D3" s="24">
        <v>65000</v>
      </c>
      <c r="E3" s="335">
        <v>60</v>
      </c>
      <c r="F3" s="24">
        <v>1000000</v>
      </c>
      <c r="G3" s="334">
        <v>90</v>
      </c>
      <c r="H3" s="24">
        <v>3100000</v>
      </c>
      <c r="I3" s="334">
        <v>120</v>
      </c>
      <c r="J3" s="168">
        <v>6100000</v>
      </c>
      <c r="K3" s="24"/>
      <c r="L3" s="336" t="s">
        <v>219</v>
      </c>
      <c r="M3" s="143">
        <v>70600</v>
      </c>
      <c r="N3" s="337"/>
      <c r="O3" s="146">
        <v>70600</v>
      </c>
      <c r="P3" s="337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 x14ac:dyDescent="0.15">
      <c r="A4" s="338">
        <v>1</v>
      </c>
      <c r="B4" s="24">
        <v>100</v>
      </c>
      <c r="C4" s="334">
        <v>31</v>
      </c>
      <c r="D4" s="24">
        <v>70000</v>
      </c>
      <c r="E4" s="335">
        <v>61</v>
      </c>
      <c r="F4" s="24">
        <v>1050000</v>
      </c>
      <c r="G4" s="334">
        <v>91</v>
      </c>
      <c r="H4" s="24">
        <v>3200000</v>
      </c>
      <c r="I4" s="334">
        <v>121</v>
      </c>
      <c r="J4" s="168">
        <v>6200000</v>
      </c>
      <c r="K4" s="24"/>
      <c r="L4" s="336" t="s">
        <v>220</v>
      </c>
      <c r="M4" s="143">
        <v>293000</v>
      </c>
      <c r="N4" s="339">
        <v>50</v>
      </c>
      <c r="O4" s="146">
        <v>363600</v>
      </c>
      <c r="P4" s="339">
        <v>50</v>
      </c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5.75" customHeight="1" x14ac:dyDescent="0.15">
      <c r="A5" s="338">
        <v>2</v>
      </c>
      <c r="B5" s="24">
        <v>200</v>
      </c>
      <c r="C5" s="334">
        <v>32</v>
      </c>
      <c r="D5" s="24">
        <v>75000</v>
      </c>
      <c r="E5" s="335">
        <v>62</v>
      </c>
      <c r="F5" s="24">
        <v>1100000</v>
      </c>
      <c r="G5" s="334">
        <v>92</v>
      </c>
      <c r="H5" s="24">
        <v>3300000</v>
      </c>
      <c r="I5" s="334">
        <v>122</v>
      </c>
      <c r="J5" s="168">
        <v>6300000</v>
      </c>
      <c r="K5" s="24"/>
      <c r="L5" s="336" t="s">
        <v>221</v>
      </c>
      <c r="M5" s="143">
        <v>920000</v>
      </c>
      <c r="N5" s="339">
        <v>100</v>
      </c>
      <c r="O5" s="146">
        <v>1283600</v>
      </c>
      <c r="P5" s="339">
        <v>150</v>
      </c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 customHeight="1" x14ac:dyDescent="0.15">
      <c r="A6" s="338">
        <v>3</v>
      </c>
      <c r="B6" s="24">
        <v>300</v>
      </c>
      <c r="C6" s="334">
        <v>33</v>
      </c>
      <c r="D6" s="24">
        <v>80000</v>
      </c>
      <c r="E6" s="335">
        <v>63</v>
      </c>
      <c r="F6" s="24">
        <v>1150000</v>
      </c>
      <c r="G6" s="334">
        <v>93</v>
      </c>
      <c r="H6" s="24">
        <v>3400000</v>
      </c>
      <c r="I6" s="334">
        <v>123</v>
      </c>
      <c r="J6" s="168">
        <v>6400000</v>
      </c>
      <c r="K6" s="24"/>
      <c r="L6" s="336" t="s">
        <v>222</v>
      </c>
      <c r="M6" s="143">
        <v>2350000</v>
      </c>
      <c r="N6" s="339">
        <v>200</v>
      </c>
      <c r="O6" s="146">
        <v>3633600</v>
      </c>
      <c r="P6" s="339">
        <v>350</v>
      </c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 x14ac:dyDescent="0.15">
      <c r="A7" s="338">
        <v>4</v>
      </c>
      <c r="B7" s="24">
        <v>400</v>
      </c>
      <c r="C7" s="334">
        <v>34</v>
      </c>
      <c r="D7" s="24">
        <v>85000</v>
      </c>
      <c r="E7" s="335">
        <v>64</v>
      </c>
      <c r="F7" s="24">
        <v>1200000</v>
      </c>
      <c r="G7" s="334">
        <v>94</v>
      </c>
      <c r="H7" s="24">
        <v>3500000</v>
      </c>
      <c r="I7" s="334">
        <v>124</v>
      </c>
      <c r="J7" s="168">
        <v>6500000</v>
      </c>
      <c r="K7" s="24"/>
      <c r="L7" s="336" t="s">
        <v>223</v>
      </c>
      <c r="M7" s="143">
        <v>5780000</v>
      </c>
      <c r="N7" s="339">
        <v>450</v>
      </c>
      <c r="O7" s="146">
        <v>9413600</v>
      </c>
      <c r="P7" s="339">
        <v>800</v>
      </c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5.75" customHeight="1" x14ac:dyDescent="0.15">
      <c r="A8" s="338">
        <v>5</v>
      </c>
      <c r="B8" s="24">
        <v>500</v>
      </c>
      <c r="C8" s="334">
        <v>35</v>
      </c>
      <c r="D8" s="24">
        <v>90000</v>
      </c>
      <c r="E8" s="335">
        <v>65</v>
      </c>
      <c r="F8" s="24">
        <v>1250000</v>
      </c>
      <c r="G8" s="335">
        <v>95</v>
      </c>
      <c r="H8" s="24">
        <v>3600000</v>
      </c>
      <c r="I8" s="335">
        <v>125</v>
      </c>
      <c r="J8" s="168">
        <v>6600000</v>
      </c>
      <c r="K8" s="24"/>
      <c r="L8" s="336" t="s">
        <v>224</v>
      </c>
      <c r="M8" s="143">
        <v>29550000</v>
      </c>
      <c r="N8" s="339">
        <v>700</v>
      </c>
      <c r="O8" s="146">
        <v>38963600</v>
      </c>
      <c r="P8" s="339">
        <v>1500</v>
      </c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 customHeight="1" x14ac:dyDescent="0.15">
      <c r="A9" s="338">
        <v>6</v>
      </c>
      <c r="B9" s="24">
        <v>600</v>
      </c>
      <c r="C9" s="334">
        <v>36</v>
      </c>
      <c r="D9" s="24">
        <v>95000</v>
      </c>
      <c r="E9" s="335">
        <v>66</v>
      </c>
      <c r="F9" s="24">
        <v>1300000</v>
      </c>
      <c r="G9" s="335">
        <v>96</v>
      </c>
      <c r="H9" s="24">
        <v>3700000</v>
      </c>
      <c r="I9" s="335">
        <v>126</v>
      </c>
      <c r="J9" s="168">
        <v>6700000</v>
      </c>
      <c r="K9" s="24"/>
      <c r="L9" s="336" t="s">
        <v>225</v>
      </c>
      <c r="M9" s="143">
        <v>11500000</v>
      </c>
      <c r="N9" s="339">
        <v>800</v>
      </c>
      <c r="O9" s="146">
        <v>50463600</v>
      </c>
      <c r="P9" s="339">
        <v>2300</v>
      </c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 customHeight="1" x14ac:dyDescent="0.15">
      <c r="A10" s="338">
        <v>7</v>
      </c>
      <c r="B10" s="24">
        <v>700</v>
      </c>
      <c r="C10" s="334">
        <v>37</v>
      </c>
      <c r="D10" s="24">
        <v>110000</v>
      </c>
      <c r="E10" s="335">
        <v>67</v>
      </c>
      <c r="F10" s="24">
        <v>1350000</v>
      </c>
      <c r="G10" s="335">
        <v>97</v>
      </c>
      <c r="H10" s="24">
        <v>3800000</v>
      </c>
      <c r="I10" s="335">
        <v>127</v>
      </c>
      <c r="J10" s="168">
        <v>6800000</v>
      </c>
      <c r="K10" s="24"/>
      <c r="L10" s="336" t="s">
        <v>226</v>
      </c>
      <c r="M10" s="143">
        <v>14000000</v>
      </c>
      <c r="N10" s="339">
        <v>800</v>
      </c>
      <c r="O10" s="146">
        <v>64463600</v>
      </c>
      <c r="P10" s="339">
        <v>3100</v>
      </c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 customHeight="1" x14ac:dyDescent="0.15">
      <c r="A11" s="338">
        <v>8</v>
      </c>
      <c r="B11" s="24">
        <v>800</v>
      </c>
      <c r="C11" s="334">
        <v>38</v>
      </c>
      <c r="D11" s="24">
        <v>120000</v>
      </c>
      <c r="E11" s="335">
        <v>68</v>
      </c>
      <c r="F11" s="24">
        <v>1400000</v>
      </c>
      <c r="G11" s="335">
        <v>98</v>
      </c>
      <c r="H11" s="24">
        <v>3900000</v>
      </c>
      <c r="I11" s="335">
        <v>128</v>
      </c>
      <c r="J11" s="168">
        <v>6900000</v>
      </c>
      <c r="K11" s="24"/>
      <c r="L11" s="336" t="s">
        <v>227</v>
      </c>
      <c r="M11" s="143">
        <v>16500000</v>
      </c>
      <c r="N11" s="339">
        <v>800</v>
      </c>
      <c r="O11" s="146">
        <v>80963600</v>
      </c>
      <c r="P11" s="339">
        <v>3900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 customHeight="1" x14ac:dyDescent="0.15">
      <c r="A12" s="338">
        <v>9</v>
      </c>
      <c r="B12" s="24">
        <v>1000</v>
      </c>
      <c r="C12" s="334">
        <v>39</v>
      </c>
      <c r="D12" s="24">
        <v>130000</v>
      </c>
      <c r="E12" s="335">
        <v>69</v>
      </c>
      <c r="F12" s="24">
        <v>1450000</v>
      </c>
      <c r="G12" s="335">
        <v>99</v>
      </c>
      <c r="H12" s="24">
        <v>4000000</v>
      </c>
      <c r="I12" s="335">
        <v>129</v>
      </c>
      <c r="J12" s="168">
        <v>7000000</v>
      </c>
      <c r="K12" s="24"/>
      <c r="L12" s="336" t="s">
        <v>228</v>
      </c>
      <c r="M12" s="143">
        <v>19000000</v>
      </c>
      <c r="N12" s="339">
        <v>800</v>
      </c>
      <c r="O12" s="146">
        <v>99963600</v>
      </c>
      <c r="P12" s="339">
        <v>4700</v>
      </c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 customHeight="1" x14ac:dyDescent="0.15">
      <c r="A13" s="338">
        <v>10</v>
      </c>
      <c r="B13" s="24">
        <v>2000</v>
      </c>
      <c r="C13" s="335">
        <v>40</v>
      </c>
      <c r="D13" s="24">
        <v>190000</v>
      </c>
      <c r="E13" s="335">
        <v>70</v>
      </c>
      <c r="F13" s="24">
        <v>1500000</v>
      </c>
      <c r="G13" s="334">
        <v>100</v>
      </c>
      <c r="H13" s="24">
        <v>4100000</v>
      </c>
      <c r="I13" s="334">
        <v>130</v>
      </c>
      <c r="J13" s="168">
        <v>7100000</v>
      </c>
      <c r="K13" s="24"/>
      <c r="L13" s="336" t="s">
        <v>229</v>
      </c>
      <c r="M13" s="143">
        <v>21500000</v>
      </c>
      <c r="N13" s="339">
        <v>1200</v>
      </c>
      <c r="O13" s="146">
        <v>121463600</v>
      </c>
      <c r="P13" s="339">
        <v>5900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 customHeight="1" x14ac:dyDescent="0.15">
      <c r="A14" s="338">
        <v>11</v>
      </c>
      <c r="B14" s="24">
        <v>3000</v>
      </c>
      <c r="C14" s="335">
        <v>41</v>
      </c>
      <c r="D14" s="24">
        <v>200000</v>
      </c>
      <c r="E14" s="335">
        <v>71</v>
      </c>
      <c r="F14" s="24">
        <v>1550000</v>
      </c>
      <c r="G14" s="334">
        <v>101</v>
      </c>
      <c r="H14" s="24">
        <v>4200000</v>
      </c>
      <c r="I14" s="334">
        <v>131</v>
      </c>
      <c r="J14" s="168">
        <v>7200000</v>
      </c>
      <c r="K14" s="24"/>
      <c r="L14" s="336" t="s">
        <v>230</v>
      </c>
      <c r="M14" s="143">
        <v>24000000</v>
      </c>
      <c r="N14" s="339">
        <v>1200</v>
      </c>
      <c r="O14" s="146">
        <v>145463600</v>
      </c>
      <c r="P14" s="339">
        <v>7100</v>
      </c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 customHeight="1" x14ac:dyDescent="0.15">
      <c r="A15" s="338">
        <v>12</v>
      </c>
      <c r="B15" s="24">
        <v>4000</v>
      </c>
      <c r="C15" s="335">
        <v>42</v>
      </c>
      <c r="D15" s="24">
        <v>210000</v>
      </c>
      <c r="E15" s="335">
        <v>72</v>
      </c>
      <c r="F15" s="24">
        <v>1600000</v>
      </c>
      <c r="G15" s="334">
        <v>102</v>
      </c>
      <c r="H15" s="24">
        <v>4300000</v>
      </c>
      <c r="I15" s="334">
        <v>132</v>
      </c>
      <c r="J15" s="168">
        <v>7300000</v>
      </c>
      <c r="K15" s="24"/>
      <c r="L15" s="336" t="s">
        <v>231</v>
      </c>
      <c r="M15" s="143">
        <v>26500000</v>
      </c>
      <c r="N15" s="339">
        <v>1200</v>
      </c>
      <c r="O15" s="146">
        <v>171963600</v>
      </c>
      <c r="P15" s="339">
        <v>8300</v>
      </c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 customHeight="1" x14ac:dyDescent="0.15">
      <c r="A16" s="338">
        <v>13</v>
      </c>
      <c r="B16" s="24">
        <v>5000</v>
      </c>
      <c r="C16" s="335">
        <v>43</v>
      </c>
      <c r="D16" s="24">
        <v>220000</v>
      </c>
      <c r="E16" s="335">
        <v>73</v>
      </c>
      <c r="F16" s="24">
        <v>1650000</v>
      </c>
      <c r="G16" s="334">
        <v>103</v>
      </c>
      <c r="H16" s="24">
        <v>4400000</v>
      </c>
      <c r="I16" s="334">
        <v>133</v>
      </c>
      <c r="J16" s="168">
        <v>7400000</v>
      </c>
      <c r="K16" s="24"/>
      <c r="L16" s="336" t="s">
        <v>232</v>
      </c>
      <c r="M16" s="143">
        <v>29000000</v>
      </c>
      <c r="N16" s="339">
        <v>1200</v>
      </c>
      <c r="O16" s="146">
        <v>200963600</v>
      </c>
      <c r="P16" s="339">
        <v>9500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 customHeight="1" x14ac:dyDescent="0.15">
      <c r="A17" s="338">
        <v>14</v>
      </c>
      <c r="B17" s="24">
        <v>6000</v>
      </c>
      <c r="C17" s="335">
        <v>44</v>
      </c>
      <c r="D17" s="24">
        <v>230000</v>
      </c>
      <c r="E17" s="335">
        <v>74</v>
      </c>
      <c r="F17" s="24">
        <v>1700000</v>
      </c>
      <c r="G17" s="334">
        <v>104</v>
      </c>
      <c r="H17" s="24">
        <v>4500000</v>
      </c>
      <c r="I17" s="334">
        <v>134</v>
      </c>
      <c r="J17" s="168">
        <v>7500000</v>
      </c>
      <c r="K17" s="24"/>
      <c r="L17" s="336" t="s">
        <v>233</v>
      </c>
      <c r="M17" s="143">
        <v>31500000</v>
      </c>
      <c r="N17" s="339">
        <v>1600</v>
      </c>
      <c r="O17" s="146">
        <v>232463600</v>
      </c>
      <c r="P17" s="339">
        <v>11100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 customHeight="1" x14ac:dyDescent="0.15">
      <c r="A18" s="338">
        <v>15</v>
      </c>
      <c r="B18" s="24">
        <v>7000</v>
      </c>
      <c r="C18" s="335">
        <v>45</v>
      </c>
      <c r="D18" s="24">
        <v>240000</v>
      </c>
      <c r="E18" s="335">
        <v>75</v>
      </c>
      <c r="F18" s="24">
        <v>1750000</v>
      </c>
      <c r="G18" s="335">
        <v>105</v>
      </c>
      <c r="H18" s="24">
        <v>4600000</v>
      </c>
      <c r="I18" s="335">
        <v>135</v>
      </c>
      <c r="J18" s="168">
        <v>7600000</v>
      </c>
      <c r="K18" s="24"/>
      <c r="L18" s="336" t="s">
        <v>234</v>
      </c>
      <c r="M18" s="143">
        <v>34000000</v>
      </c>
      <c r="N18" s="339">
        <v>1600</v>
      </c>
      <c r="O18" s="146">
        <v>266463600</v>
      </c>
      <c r="P18" s="339">
        <v>12700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 customHeight="1" x14ac:dyDescent="0.15">
      <c r="A19" s="338">
        <v>16</v>
      </c>
      <c r="B19" s="24">
        <v>8000</v>
      </c>
      <c r="C19" s="335">
        <v>46</v>
      </c>
      <c r="D19" s="24">
        <v>250000</v>
      </c>
      <c r="E19" s="335">
        <v>76</v>
      </c>
      <c r="F19" s="24">
        <v>1800000</v>
      </c>
      <c r="G19" s="335">
        <v>106</v>
      </c>
      <c r="H19" s="24">
        <v>4700000</v>
      </c>
      <c r="I19" s="335">
        <v>136</v>
      </c>
      <c r="J19" s="168">
        <v>7700000</v>
      </c>
      <c r="K19" s="24"/>
      <c r="L19" s="336" t="s">
        <v>235</v>
      </c>
      <c r="M19" s="143">
        <v>36500000</v>
      </c>
      <c r="N19" s="339">
        <v>1600</v>
      </c>
      <c r="O19" s="146">
        <v>302963600</v>
      </c>
      <c r="P19" s="339">
        <v>14300</v>
      </c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 customHeight="1" x14ac:dyDescent="0.15">
      <c r="A20" s="338">
        <v>17</v>
      </c>
      <c r="B20" s="24">
        <v>9000</v>
      </c>
      <c r="C20" s="335">
        <v>47</v>
      </c>
      <c r="D20" s="24">
        <v>260000</v>
      </c>
      <c r="E20" s="335">
        <v>77</v>
      </c>
      <c r="F20" s="24">
        <v>1850000</v>
      </c>
      <c r="G20" s="335">
        <v>107</v>
      </c>
      <c r="H20" s="24">
        <v>4800000</v>
      </c>
      <c r="I20" s="335">
        <v>137</v>
      </c>
      <c r="J20" s="168">
        <v>7800000</v>
      </c>
      <c r="K20" s="24"/>
      <c r="L20" s="340" t="s">
        <v>236</v>
      </c>
      <c r="M20" s="192">
        <v>39000000</v>
      </c>
      <c r="N20" s="341">
        <v>1600</v>
      </c>
      <c r="O20" s="193">
        <v>341963600</v>
      </c>
      <c r="P20" s="341">
        <v>15900</v>
      </c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 x14ac:dyDescent="0.15">
      <c r="A21" s="338">
        <v>18</v>
      </c>
      <c r="B21" s="24">
        <v>10000</v>
      </c>
      <c r="C21" s="335">
        <v>48</v>
      </c>
      <c r="D21" s="24">
        <v>270000</v>
      </c>
      <c r="E21" s="335">
        <v>78</v>
      </c>
      <c r="F21" s="24">
        <v>1900000</v>
      </c>
      <c r="G21" s="335">
        <v>108</v>
      </c>
      <c r="H21" s="24">
        <v>4900000</v>
      </c>
      <c r="I21" s="335">
        <v>138</v>
      </c>
      <c r="J21" s="168">
        <v>7900000</v>
      </c>
      <c r="K21" s="24"/>
      <c r="L21" s="24"/>
      <c r="M21" s="24"/>
      <c r="N21" s="24"/>
      <c r="O21" s="24"/>
      <c r="P21" s="24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 x14ac:dyDescent="0.15">
      <c r="A22" s="338">
        <v>19</v>
      </c>
      <c r="B22" s="24">
        <v>12000</v>
      </c>
      <c r="C22" s="335">
        <v>49</v>
      </c>
      <c r="D22" s="24">
        <v>280000</v>
      </c>
      <c r="E22" s="335">
        <v>79</v>
      </c>
      <c r="F22" s="24">
        <v>2000000</v>
      </c>
      <c r="G22" s="335">
        <v>109</v>
      </c>
      <c r="H22" s="24">
        <v>5000000</v>
      </c>
      <c r="I22" s="335">
        <v>139</v>
      </c>
      <c r="J22" s="168">
        <v>8000000</v>
      </c>
      <c r="K22" s="24"/>
      <c r="L22" s="24"/>
      <c r="M22" s="24"/>
      <c r="N22" s="24"/>
      <c r="O22" s="24"/>
      <c r="P22" s="24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 x14ac:dyDescent="0.15">
      <c r="A23" s="342">
        <v>20</v>
      </c>
      <c r="B23" s="24">
        <v>14000</v>
      </c>
      <c r="C23" s="334">
        <v>50</v>
      </c>
      <c r="D23" s="24">
        <v>380000</v>
      </c>
      <c r="E23" s="334">
        <v>80</v>
      </c>
      <c r="F23" s="24">
        <v>2100000</v>
      </c>
      <c r="G23" s="334">
        <v>110</v>
      </c>
      <c r="H23" s="24">
        <v>5100000</v>
      </c>
      <c r="I23" s="335">
        <v>140</v>
      </c>
      <c r="J23" s="168" t="s">
        <v>113</v>
      </c>
      <c r="K23" s="24"/>
      <c r="L23" s="24"/>
      <c r="M23" s="24"/>
      <c r="N23" s="24"/>
      <c r="O23" s="24"/>
      <c r="P23" s="24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 x14ac:dyDescent="0.15">
      <c r="A24" s="342">
        <v>21</v>
      </c>
      <c r="B24" s="24">
        <v>16000</v>
      </c>
      <c r="C24" s="334">
        <v>51</v>
      </c>
      <c r="D24" s="24">
        <v>400000</v>
      </c>
      <c r="E24" s="334">
        <v>81</v>
      </c>
      <c r="F24" s="24">
        <v>2200000</v>
      </c>
      <c r="G24" s="334">
        <v>111</v>
      </c>
      <c r="H24" s="24">
        <v>5200000</v>
      </c>
      <c r="I24" s="333"/>
      <c r="J24" s="343"/>
      <c r="K24" s="24"/>
      <c r="L24" s="24"/>
      <c r="M24" s="24"/>
      <c r="N24" s="24"/>
      <c r="O24" s="24"/>
      <c r="P24" s="24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 x14ac:dyDescent="0.15">
      <c r="A25" s="342">
        <v>22</v>
      </c>
      <c r="B25" s="24">
        <v>18000</v>
      </c>
      <c r="C25" s="334">
        <v>52</v>
      </c>
      <c r="D25" s="24">
        <v>450000</v>
      </c>
      <c r="E25" s="334">
        <v>82</v>
      </c>
      <c r="F25" s="24">
        <v>2300000</v>
      </c>
      <c r="G25" s="334">
        <v>112</v>
      </c>
      <c r="H25" s="24">
        <v>5300000</v>
      </c>
      <c r="I25" s="333"/>
      <c r="J25" s="343"/>
      <c r="K25" s="24"/>
      <c r="L25" s="24"/>
      <c r="M25" s="24"/>
      <c r="N25" s="24"/>
      <c r="O25" s="24"/>
      <c r="P25" s="24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 x14ac:dyDescent="0.15">
      <c r="A26" s="342">
        <v>23</v>
      </c>
      <c r="B26" s="24">
        <v>20000</v>
      </c>
      <c r="C26" s="334">
        <v>53</v>
      </c>
      <c r="D26" s="24">
        <v>500000</v>
      </c>
      <c r="E26" s="334">
        <v>83</v>
      </c>
      <c r="F26" s="24">
        <v>2400000</v>
      </c>
      <c r="G26" s="334">
        <v>113</v>
      </c>
      <c r="H26" s="24">
        <v>5400000</v>
      </c>
      <c r="I26" s="333"/>
      <c r="J26" s="343"/>
      <c r="K26" s="24"/>
      <c r="L26" s="24"/>
      <c r="M26" s="24"/>
      <c r="N26" s="24"/>
      <c r="O26" s="24"/>
      <c r="P26" s="24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 x14ac:dyDescent="0.15">
      <c r="A27" s="342">
        <v>24</v>
      </c>
      <c r="B27" s="24">
        <v>25000</v>
      </c>
      <c r="C27" s="334">
        <v>54</v>
      </c>
      <c r="D27" s="24">
        <v>550000</v>
      </c>
      <c r="E27" s="334">
        <v>84</v>
      </c>
      <c r="F27" s="24">
        <v>2500000</v>
      </c>
      <c r="G27" s="334">
        <v>114</v>
      </c>
      <c r="H27" s="24">
        <v>5500000</v>
      </c>
      <c r="I27" s="333"/>
      <c r="J27" s="343"/>
      <c r="K27" s="24"/>
      <c r="L27" s="24"/>
      <c r="M27" s="24"/>
      <c r="N27" s="24"/>
      <c r="O27" s="24"/>
      <c r="P27" s="24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 x14ac:dyDescent="0.15">
      <c r="A28" s="342">
        <v>25</v>
      </c>
      <c r="B28" s="24">
        <v>30000</v>
      </c>
      <c r="C28" s="334">
        <v>55</v>
      </c>
      <c r="D28" s="24">
        <v>600000</v>
      </c>
      <c r="E28" s="335">
        <v>85</v>
      </c>
      <c r="F28" s="24">
        <v>2600000</v>
      </c>
      <c r="G28" s="335">
        <v>115</v>
      </c>
      <c r="H28" s="24">
        <v>5600000</v>
      </c>
      <c r="I28" s="333"/>
      <c r="J28" s="343"/>
      <c r="K28" s="24"/>
      <c r="L28" s="24"/>
      <c r="M28" s="24"/>
      <c r="N28" s="24"/>
      <c r="O28" s="24"/>
      <c r="P28" s="24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 x14ac:dyDescent="0.15">
      <c r="A29" s="342">
        <v>26</v>
      </c>
      <c r="B29" s="24">
        <v>35000</v>
      </c>
      <c r="C29" s="334">
        <v>56</v>
      </c>
      <c r="D29" s="24">
        <v>650000</v>
      </c>
      <c r="E29" s="335">
        <v>86</v>
      </c>
      <c r="F29" s="24">
        <v>2700000</v>
      </c>
      <c r="G29" s="335">
        <v>116</v>
      </c>
      <c r="H29" s="24">
        <v>5700000</v>
      </c>
      <c r="I29" s="333"/>
      <c r="J29" s="343"/>
      <c r="K29" s="24"/>
      <c r="L29" s="24"/>
      <c r="M29" s="24"/>
      <c r="N29" s="24"/>
      <c r="O29" s="24"/>
      <c r="P29" s="24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 x14ac:dyDescent="0.15">
      <c r="A30" s="342">
        <v>27</v>
      </c>
      <c r="B30" s="24">
        <v>40000</v>
      </c>
      <c r="C30" s="334">
        <v>57</v>
      </c>
      <c r="D30" s="24">
        <v>700000</v>
      </c>
      <c r="E30" s="335">
        <v>87</v>
      </c>
      <c r="F30" s="24">
        <v>2800000</v>
      </c>
      <c r="G30" s="335">
        <v>117</v>
      </c>
      <c r="H30" s="24">
        <v>5800000</v>
      </c>
      <c r="I30" s="333"/>
      <c r="J30" s="343"/>
      <c r="K30" s="24"/>
      <c r="L30" s="24"/>
      <c r="M30" s="24"/>
      <c r="N30" s="24"/>
      <c r="O30" s="24"/>
      <c r="P30" s="24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 x14ac:dyDescent="0.15">
      <c r="A31" s="342">
        <v>28</v>
      </c>
      <c r="B31" s="24">
        <v>45000</v>
      </c>
      <c r="C31" s="334">
        <v>58</v>
      </c>
      <c r="D31" s="24">
        <v>750000</v>
      </c>
      <c r="E31" s="335">
        <v>88</v>
      </c>
      <c r="F31" s="24">
        <v>2900000</v>
      </c>
      <c r="G31" s="335">
        <v>118</v>
      </c>
      <c r="H31" s="24">
        <v>5900000</v>
      </c>
      <c r="I31" s="333"/>
      <c r="J31" s="343"/>
      <c r="K31" s="24"/>
      <c r="L31" s="24"/>
      <c r="M31" s="24"/>
      <c r="N31" s="24"/>
      <c r="O31" s="24"/>
      <c r="P31" s="24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 x14ac:dyDescent="0.15">
      <c r="A32" s="344">
        <v>29</v>
      </c>
      <c r="B32" s="345">
        <v>50000</v>
      </c>
      <c r="C32" s="346">
        <v>59</v>
      </c>
      <c r="D32" s="345">
        <v>800000</v>
      </c>
      <c r="E32" s="347">
        <v>89</v>
      </c>
      <c r="F32" s="345">
        <v>3000000</v>
      </c>
      <c r="G32" s="347">
        <v>119</v>
      </c>
      <c r="H32" s="345">
        <v>6000000</v>
      </c>
      <c r="I32" s="348"/>
      <c r="J32" s="349"/>
      <c r="K32" s="24"/>
      <c r="L32" s="24"/>
      <c r="M32" s="24"/>
      <c r="N32" s="24"/>
      <c r="O32" s="24"/>
      <c r="P32" s="24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1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 x14ac:dyDescent="0.1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1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 x14ac:dyDescent="0.1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 x14ac:dyDescent="0.1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1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1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1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1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1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1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1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1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1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1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1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1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1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1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1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1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1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1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1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1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1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1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1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1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1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1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 x14ac:dyDescent="0.1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1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1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1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1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1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1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1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1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1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1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1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1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1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1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1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1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1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1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1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1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1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1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1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1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1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1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1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1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1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1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1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1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1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1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1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1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1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1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1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1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1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1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1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1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1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1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1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1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1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1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1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1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1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1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1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1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1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1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1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1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1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1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1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1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1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1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1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1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1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1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1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1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1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1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1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1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1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1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1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1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1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1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1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1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1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1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1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1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1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1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1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1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1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1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1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1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1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1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1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1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1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1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1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1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1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1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1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1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1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1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1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1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1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1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1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1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1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1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1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1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1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1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1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1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1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1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1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1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1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1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1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1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1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1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1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1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1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1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1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1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1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1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1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1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1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1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1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1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1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1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1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1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1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1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1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1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1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1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1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1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1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1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1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1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1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1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6" width="6.1640625" customWidth="1"/>
  </cols>
  <sheetData>
    <row r="1" spans="1:26" ht="15.75" customHeight="1" x14ac:dyDescent="0.2">
      <c r="A1" s="242" t="s">
        <v>237</v>
      </c>
      <c r="B1" s="350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67"/>
      <c r="U1" s="67"/>
      <c r="V1" s="67"/>
      <c r="W1" s="67"/>
      <c r="X1" s="67"/>
      <c r="Y1" s="67"/>
      <c r="Z1" s="67"/>
    </row>
    <row r="2" spans="1:26" ht="15.75" customHeight="1" x14ac:dyDescent="0.15">
      <c r="A2" s="211"/>
      <c r="B2" s="351" t="s">
        <v>174</v>
      </c>
      <c r="C2" s="195" t="s">
        <v>238</v>
      </c>
      <c r="D2" s="195" t="s">
        <v>239</v>
      </c>
      <c r="E2" s="195" t="s">
        <v>240</v>
      </c>
      <c r="F2" s="195" t="s">
        <v>241</v>
      </c>
      <c r="G2" s="195" t="s">
        <v>242</v>
      </c>
      <c r="H2" s="195" t="s">
        <v>243</v>
      </c>
      <c r="I2" s="195" t="s">
        <v>244</v>
      </c>
      <c r="J2" s="195" t="s">
        <v>245</v>
      </c>
      <c r="K2" s="195" t="s">
        <v>246</v>
      </c>
      <c r="L2" s="195" t="s">
        <v>247</v>
      </c>
      <c r="M2" s="195" t="s">
        <v>248</v>
      </c>
      <c r="N2" s="195" t="s">
        <v>249</v>
      </c>
      <c r="O2" s="195" t="s">
        <v>250</v>
      </c>
      <c r="P2" s="195" t="s">
        <v>251</v>
      </c>
      <c r="Q2" s="195" t="s">
        <v>252</v>
      </c>
      <c r="R2" s="195" t="s">
        <v>253</v>
      </c>
      <c r="S2" s="195" t="s">
        <v>254</v>
      </c>
      <c r="T2" s="195" t="s">
        <v>255</v>
      </c>
      <c r="U2" s="195" t="s">
        <v>256</v>
      </c>
      <c r="V2" s="352" t="s">
        <v>257</v>
      </c>
      <c r="W2" s="67"/>
      <c r="X2" s="67"/>
      <c r="Y2" s="67"/>
      <c r="Z2" s="67"/>
    </row>
    <row r="3" spans="1:26" ht="15.75" customHeight="1" x14ac:dyDescent="0.15">
      <c r="A3" s="211"/>
      <c r="B3" s="353">
        <v>20</v>
      </c>
      <c r="C3" s="354">
        <v>90</v>
      </c>
      <c r="D3" s="355">
        <v>180</v>
      </c>
      <c r="E3" s="354">
        <v>390</v>
      </c>
      <c r="F3" s="355">
        <v>620</v>
      </c>
      <c r="G3" s="354">
        <v>1220</v>
      </c>
      <c r="H3" s="355">
        <v>1870</v>
      </c>
      <c r="I3" s="354">
        <v>2920</v>
      </c>
      <c r="J3" s="355">
        <v>4470</v>
      </c>
      <c r="K3" s="354">
        <v>6520</v>
      </c>
      <c r="L3" s="355">
        <v>8700</v>
      </c>
      <c r="M3" s="354">
        <v>9900</v>
      </c>
      <c r="N3" s="355">
        <v>11000</v>
      </c>
      <c r="O3" s="354">
        <v>13000</v>
      </c>
      <c r="P3" s="355">
        <v>15000</v>
      </c>
      <c r="Q3" s="354">
        <v>17000</v>
      </c>
      <c r="R3" s="355">
        <v>20000</v>
      </c>
      <c r="S3" s="354">
        <v>24000</v>
      </c>
      <c r="T3" s="355">
        <v>29000</v>
      </c>
      <c r="U3" s="354">
        <v>34000</v>
      </c>
      <c r="V3" s="356">
        <v>39000</v>
      </c>
      <c r="W3" s="67"/>
      <c r="X3" s="67"/>
      <c r="Y3" s="67"/>
      <c r="Z3" s="67"/>
    </row>
    <row r="4" spans="1:26" ht="15.75" customHeight="1" x14ac:dyDescent="0.15">
      <c r="A4" s="211"/>
      <c r="B4" s="230">
        <v>30</v>
      </c>
      <c r="C4" s="231">
        <v>90</v>
      </c>
      <c r="D4" s="211">
        <v>200</v>
      </c>
      <c r="E4" s="231">
        <v>390</v>
      </c>
      <c r="F4" s="211">
        <v>670</v>
      </c>
      <c r="G4" s="231">
        <v>1220</v>
      </c>
      <c r="H4" s="211">
        <v>1970</v>
      </c>
      <c r="I4" s="231">
        <v>2920</v>
      </c>
      <c r="J4" s="211">
        <v>4670</v>
      </c>
      <c r="K4" s="231">
        <v>6520</v>
      </c>
      <c r="L4" s="211">
        <v>8700</v>
      </c>
      <c r="M4" s="231">
        <v>9900</v>
      </c>
      <c r="N4" s="211">
        <v>11000</v>
      </c>
      <c r="O4" s="231">
        <v>13000</v>
      </c>
      <c r="P4" s="211">
        <v>15000</v>
      </c>
      <c r="Q4" s="231">
        <v>17000</v>
      </c>
      <c r="R4" s="211">
        <v>20000</v>
      </c>
      <c r="S4" s="231">
        <v>24000</v>
      </c>
      <c r="T4" s="211">
        <v>29000</v>
      </c>
      <c r="U4" s="231">
        <v>34000</v>
      </c>
      <c r="V4" s="232">
        <v>39000</v>
      </c>
      <c r="W4" s="67"/>
      <c r="X4" s="67"/>
      <c r="Y4" s="67"/>
      <c r="Z4" s="67"/>
    </row>
    <row r="5" spans="1:26" ht="15.75" customHeight="1" x14ac:dyDescent="0.15">
      <c r="A5" s="211"/>
      <c r="B5" s="230">
        <v>30</v>
      </c>
      <c r="C5" s="231">
        <v>100</v>
      </c>
      <c r="D5" s="211">
        <v>220</v>
      </c>
      <c r="E5" s="231">
        <v>410</v>
      </c>
      <c r="F5" s="211">
        <v>720</v>
      </c>
      <c r="G5" s="231">
        <v>1270</v>
      </c>
      <c r="H5" s="211">
        <v>2070</v>
      </c>
      <c r="I5" s="231">
        <v>3070</v>
      </c>
      <c r="J5" s="211">
        <v>4870</v>
      </c>
      <c r="K5" s="231">
        <v>6770</v>
      </c>
      <c r="L5" s="211">
        <v>8700</v>
      </c>
      <c r="M5" s="231">
        <v>9900</v>
      </c>
      <c r="N5" s="211">
        <v>11000</v>
      </c>
      <c r="O5" s="231">
        <v>13000</v>
      </c>
      <c r="P5" s="211">
        <v>15000</v>
      </c>
      <c r="Q5" s="231">
        <v>17000</v>
      </c>
      <c r="R5" s="211">
        <v>20000</v>
      </c>
      <c r="S5" s="231">
        <v>24000</v>
      </c>
      <c r="T5" s="211">
        <v>29000</v>
      </c>
      <c r="U5" s="231">
        <v>34000</v>
      </c>
      <c r="V5" s="232">
        <v>39000</v>
      </c>
      <c r="W5" s="67"/>
      <c r="X5" s="67"/>
      <c r="Y5" s="67"/>
      <c r="Z5" s="67"/>
    </row>
    <row r="6" spans="1:26" ht="15.75" customHeight="1" x14ac:dyDescent="0.15">
      <c r="A6" s="211"/>
      <c r="B6" s="230">
        <v>40</v>
      </c>
      <c r="C6" s="231">
        <v>110</v>
      </c>
      <c r="D6" s="211">
        <v>240</v>
      </c>
      <c r="E6" s="231">
        <v>430</v>
      </c>
      <c r="F6" s="211">
        <v>770</v>
      </c>
      <c r="G6" s="231">
        <v>1320</v>
      </c>
      <c r="H6" s="211">
        <v>2170</v>
      </c>
      <c r="I6" s="231">
        <v>3220</v>
      </c>
      <c r="J6" s="211">
        <v>5070</v>
      </c>
      <c r="K6" s="231">
        <v>7020</v>
      </c>
      <c r="L6" s="211">
        <v>9000</v>
      </c>
      <c r="M6" s="231">
        <v>10000</v>
      </c>
      <c r="N6" s="211">
        <v>11600</v>
      </c>
      <c r="O6" s="231">
        <v>13000</v>
      </c>
      <c r="P6" s="211">
        <v>15000</v>
      </c>
      <c r="Q6" s="231">
        <v>18000</v>
      </c>
      <c r="R6" s="69">
        <v>21300</v>
      </c>
      <c r="S6" s="231">
        <v>26000</v>
      </c>
      <c r="T6" s="211">
        <v>30000</v>
      </c>
      <c r="U6" s="231">
        <v>35000</v>
      </c>
      <c r="V6" s="232">
        <v>40000</v>
      </c>
      <c r="W6" s="67"/>
      <c r="X6" s="67"/>
      <c r="Y6" s="67"/>
      <c r="Z6" s="67"/>
    </row>
    <row r="7" spans="1:26" ht="15.75" customHeight="1" x14ac:dyDescent="0.15">
      <c r="A7" s="211"/>
      <c r="B7" s="230">
        <v>40</v>
      </c>
      <c r="C7" s="231">
        <v>110</v>
      </c>
      <c r="D7" s="211">
        <v>240</v>
      </c>
      <c r="E7" s="231">
        <v>430</v>
      </c>
      <c r="F7" s="211">
        <v>770</v>
      </c>
      <c r="G7" s="231">
        <v>1320</v>
      </c>
      <c r="H7" s="211">
        <v>2170</v>
      </c>
      <c r="I7" s="231">
        <v>3220</v>
      </c>
      <c r="J7" s="211">
        <v>5070</v>
      </c>
      <c r="K7" s="231">
        <v>7020</v>
      </c>
      <c r="L7" s="211">
        <v>9000</v>
      </c>
      <c r="M7" s="231">
        <v>10000</v>
      </c>
      <c r="N7" s="211">
        <v>11600</v>
      </c>
      <c r="O7" s="231">
        <v>13000</v>
      </c>
      <c r="P7" s="211">
        <v>15000</v>
      </c>
      <c r="Q7" s="231">
        <v>18000</v>
      </c>
      <c r="R7" s="69">
        <v>21300</v>
      </c>
      <c r="S7" s="231">
        <v>26000</v>
      </c>
      <c r="T7" s="211">
        <v>30000</v>
      </c>
      <c r="U7" s="231">
        <v>35000</v>
      </c>
      <c r="V7" s="232">
        <v>40000</v>
      </c>
      <c r="W7" s="67"/>
      <c r="X7" s="67"/>
      <c r="Y7" s="67"/>
      <c r="Z7" s="67"/>
    </row>
    <row r="8" spans="1:26" ht="15.75" customHeight="1" x14ac:dyDescent="0.15">
      <c r="A8" s="211"/>
      <c r="B8" s="230">
        <v>50</v>
      </c>
      <c r="C8" s="231">
        <v>120</v>
      </c>
      <c r="D8" s="211">
        <v>260</v>
      </c>
      <c r="E8" s="231">
        <v>450</v>
      </c>
      <c r="F8" s="211">
        <v>820</v>
      </c>
      <c r="G8" s="231">
        <v>1370</v>
      </c>
      <c r="H8" s="211">
        <v>2270</v>
      </c>
      <c r="I8" s="231">
        <v>3370</v>
      </c>
      <c r="J8" s="211">
        <v>5270</v>
      </c>
      <c r="K8" s="231">
        <v>7270</v>
      </c>
      <c r="L8" s="211">
        <v>9000</v>
      </c>
      <c r="M8" s="231">
        <v>10000</v>
      </c>
      <c r="N8" s="211">
        <v>11600</v>
      </c>
      <c r="O8" s="231">
        <v>13000</v>
      </c>
      <c r="P8" s="211">
        <v>15000</v>
      </c>
      <c r="Q8" s="231">
        <v>18000</v>
      </c>
      <c r="R8" s="69">
        <v>21300</v>
      </c>
      <c r="S8" s="231">
        <v>26000</v>
      </c>
      <c r="T8" s="211">
        <v>30000</v>
      </c>
      <c r="U8" s="231">
        <v>35000</v>
      </c>
      <c r="V8" s="232">
        <v>40000</v>
      </c>
      <c r="W8" s="67"/>
      <c r="X8" s="67"/>
      <c r="Y8" s="67"/>
      <c r="Z8" s="67"/>
    </row>
    <row r="9" spans="1:26" ht="15.75" customHeight="1" x14ac:dyDescent="0.15">
      <c r="A9" s="211"/>
      <c r="B9" s="230">
        <v>50</v>
      </c>
      <c r="C9" s="231">
        <v>120</v>
      </c>
      <c r="D9" s="211">
        <v>280</v>
      </c>
      <c r="E9" s="231">
        <v>470</v>
      </c>
      <c r="F9" s="211">
        <v>870</v>
      </c>
      <c r="G9" s="231">
        <v>1420</v>
      </c>
      <c r="H9" s="211">
        <v>2370</v>
      </c>
      <c r="I9" s="231">
        <v>3520</v>
      </c>
      <c r="J9" s="211">
        <v>5470</v>
      </c>
      <c r="K9" s="231">
        <v>7520</v>
      </c>
      <c r="L9" s="211">
        <v>9300</v>
      </c>
      <c r="M9" s="231">
        <v>11000</v>
      </c>
      <c r="N9" s="211">
        <v>12000</v>
      </c>
      <c r="O9" s="231">
        <v>14000</v>
      </c>
      <c r="P9" s="211">
        <v>16000</v>
      </c>
      <c r="Q9" s="231">
        <v>19000</v>
      </c>
      <c r="R9" s="211">
        <v>22000</v>
      </c>
      <c r="S9" s="231">
        <v>27000</v>
      </c>
      <c r="T9" s="211">
        <v>32000</v>
      </c>
      <c r="U9" s="231">
        <v>36000</v>
      </c>
      <c r="V9" s="232">
        <v>41000</v>
      </c>
      <c r="W9" s="67"/>
      <c r="X9" s="67"/>
      <c r="Y9" s="67"/>
      <c r="Z9" s="67"/>
    </row>
    <row r="10" spans="1:26" ht="15.75" customHeight="1" x14ac:dyDescent="0.15">
      <c r="A10" s="211"/>
      <c r="B10" s="230">
        <v>60</v>
      </c>
      <c r="C10" s="231">
        <v>130</v>
      </c>
      <c r="D10" s="211">
        <v>300</v>
      </c>
      <c r="E10" s="231">
        <v>490</v>
      </c>
      <c r="F10" s="211">
        <v>920</v>
      </c>
      <c r="G10" s="231">
        <v>1470</v>
      </c>
      <c r="H10" s="211">
        <v>2470</v>
      </c>
      <c r="I10" s="231">
        <v>3670</v>
      </c>
      <c r="J10" s="211">
        <v>5670</v>
      </c>
      <c r="K10" s="231">
        <v>7520</v>
      </c>
      <c r="L10" s="211">
        <v>9300</v>
      </c>
      <c r="M10" s="231">
        <v>11000</v>
      </c>
      <c r="N10" s="211">
        <v>12000</v>
      </c>
      <c r="O10" s="231">
        <v>14000</v>
      </c>
      <c r="P10" s="211">
        <v>16000</v>
      </c>
      <c r="Q10" s="231">
        <v>19000</v>
      </c>
      <c r="R10" s="211">
        <v>22000</v>
      </c>
      <c r="S10" s="231">
        <v>27000</v>
      </c>
      <c r="T10" s="211">
        <v>32000</v>
      </c>
      <c r="U10" s="231">
        <v>36000</v>
      </c>
      <c r="V10" s="232">
        <v>41000</v>
      </c>
      <c r="W10" s="67"/>
      <c r="X10" s="67"/>
      <c r="Y10" s="67"/>
      <c r="Z10" s="67"/>
    </row>
    <row r="11" spans="1:26" ht="15.75" customHeight="1" x14ac:dyDescent="0.15">
      <c r="A11" s="211"/>
      <c r="B11" s="230">
        <v>80</v>
      </c>
      <c r="C11" s="231">
        <v>140</v>
      </c>
      <c r="D11" s="211">
        <v>300</v>
      </c>
      <c r="E11" s="231">
        <v>490</v>
      </c>
      <c r="F11" s="211">
        <v>920</v>
      </c>
      <c r="G11" s="231">
        <v>1470</v>
      </c>
      <c r="H11" s="211">
        <v>2470</v>
      </c>
      <c r="I11" s="231">
        <v>3670</v>
      </c>
      <c r="J11" s="211">
        <v>5670</v>
      </c>
      <c r="K11" s="231">
        <v>7770</v>
      </c>
      <c r="L11" s="211">
        <v>9300</v>
      </c>
      <c r="M11" s="231">
        <v>11000</v>
      </c>
      <c r="N11" s="211">
        <v>12000</v>
      </c>
      <c r="O11" s="231">
        <v>14000</v>
      </c>
      <c r="P11" s="211">
        <v>16000</v>
      </c>
      <c r="Q11" s="231">
        <v>19000</v>
      </c>
      <c r="R11" s="211">
        <v>22000</v>
      </c>
      <c r="S11" s="231">
        <v>27000</v>
      </c>
      <c r="T11" s="211">
        <v>32000</v>
      </c>
      <c r="U11" s="231">
        <v>36000</v>
      </c>
      <c r="V11" s="232">
        <v>41000</v>
      </c>
      <c r="W11" s="67"/>
      <c r="X11" s="67"/>
      <c r="Y11" s="67"/>
      <c r="Z11" s="67"/>
    </row>
    <row r="12" spans="1:26" ht="15.75" customHeight="1" x14ac:dyDescent="0.15">
      <c r="A12" s="211"/>
      <c r="B12" s="357"/>
      <c r="C12" s="231">
        <v>170</v>
      </c>
      <c r="D12" s="211">
        <v>320</v>
      </c>
      <c r="E12" s="231">
        <v>510</v>
      </c>
      <c r="F12" s="211">
        <v>970</v>
      </c>
      <c r="G12" s="231">
        <v>1520</v>
      </c>
      <c r="H12" s="211">
        <v>2570</v>
      </c>
      <c r="I12" s="231">
        <v>3820</v>
      </c>
      <c r="J12" s="211">
        <v>5870</v>
      </c>
      <c r="K12" s="231">
        <v>8020</v>
      </c>
      <c r="L12" s="211">
        <v>9600</v>
      </c>
      <c r="M12" s="231">
        <v>11000</v>
      </c>
      <c r="N12" s="211">
        <v>12000</v>
      </c>
      <c r="O12" s="231">
        <v>14000</v>
      </c>
      <c r="P12" s="211">
        <v>17000</v>
      </c>
      <c r="Q12" s="231">
        <v>20000</v>
      </c>
      <c r="R12" s="211">
        <v>23000</v>
      </c>
      <c r="S12" s="231">
        <v>28000</v>
      </c>
      <c r="T12" s="211">
        <v>33000</v>
      </c>
      <c r="U12" s="231">
        <v>38000</v>
      </c>
      <c r="V12" s="232">
        <v>42000</v>
      </c>
      <c r="W12" s="67"/>
      <c r="X12" s="67"/>
      <c r="Y12" s="67"/>
      <c r="Z12" s="67"/>
    </row>
    <row r="13" spans="1:26" ht="15.75" customHeight="1" x14ac:dyDescent="0.15">
      <c r="A13" s="211"/>
      <c r="B13" s="357"/>
      <c r="C13" s="358"/>
      <c r="D13" s="211">
        <v>340</v>
      </c>
      <c r="E13" s="231">
        <v>530</v>
      </c>
      <c r="F13" s="211">
        <v>1020</v>
      </c>
      <c r="G13" s="231">
        <v>1570</v>
      </c>
      <c r="H13" s="211">
        <v>2670</v>
      </c>
      <c r="I13" s="231">
        <v>3970</v>
      </c>
      <c r="J13" s="211">
        <v>6070</v>
      </c>
      <c r="K13" s="231">
        <v>8470</v>
      </c>
      <c r="L13" s="211">
        <v>9600</v>
      </c>
      <c r="M13" s="231">
        <v>11000</v>
      </c>
      <c r="N13" s="211">
        <v>12000</v>
      </c>
      <c r="O13" s="231">
        <v>14000</v>
      </c>
      <c r="P13" s="211">
        <v>17000</v>
      </c>
      <c r="Q13" s="231">
        <v>20000</v>
      </c>
      <c r="R13" s="211">
        <v>23000</v>
      </c>
      <c r="S13" s="231">
        <v>28000</v>
      </c>
      <c r="T13" s="211">
        <v>33000</v>
      </c>
      <c r="U13" s="231">
        <v>38000</v>
      </c>
      <c r="V13" s="232">
        <v>42000</v>
      </c>
      <c r="W13" s="67"/>
      <c r="X13" s="67"/>
      <c r="Y13" s="67"/>
      <c r="Z13" s="67"/>
    </row>
    <row r="14" spans="1:26" ht="15.75" customHeight="1" x14ac:dyDescent="0.15">
      <c r="A14" s="211"/>
      <c r="B14" s="357"/>
      <c r="C14" s="358"/>
      <c r="D14" s="211">
        <v>360</v>
      </c>
      <c r="E14" s="231">
        <v>530</v>
      </c>
      <c r="F14" s="211">
        <v>1070</v>
      </c>
      <c r="G14" s="231">
        <v>1570</v>
      </c>
      <c r="H14" s="211">
        <v>2770</v>
      </c>
      <c r="I14" s="231">
        <v>3970</v>
      </c>
      <c r="J14" s="211">
        <v>6270</v>
      </c>
      <c r="K14" s="358"/>
      <c r="L14" s="211">
        <v>9600</v>
      </c>
      <c r="M14" s="231">
        <v>11000</v>
      </c>
      <c r="N14" s="211">
        <v>12000</v>
      </c>
      <c r="O14" s="231">
        <v>14000</v>
      </c>
      <c r="P14" s="211">
        <v>17000</v>
      </c>
      <c r="Q14" s="231">
        <v>20000</v>
      </c>
      <c r="R14" s="211">
        <v>23000</v>
      </c>
      <c r="S14" s="231">
        <v>28000</v>
      </c>
      <c r="T14" s="211">
        <v>33000</v>
      </c>
      <c r="U14" s="231">
        <v>38000</v>
      </c>
      <c r="V14" s="232">
        <v>42000</v>
      </c>
      <c r="W14" s="67"/>
      <c r="X14" s="67"/>
      <c r="Y14" s="67"/>
      <c r="Z14" s="67"/>
    </row>
    <row r="15" spans="1:26" ht="15.75" customHeight="1" x14ac:dyDescent="0.15">
      <c r="A15" s="211"/>
      <c r="B15" s="357"/>
      <c r="C15" s="358"/>
      <c r="D15" s="211">
        <v>370</v>
      </c>
      <c r="E15" s="231">
        <v>550</v>
      </c>
      <c r="F15" s="211">
        <v>1170</v>
      </c>
      <c r="G15" s="231">
        <v>1620</v>
      </c>
      <c r="H15" s="358"/>
      <c r="I15" s="231">
        <v>4120</v>
      </c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9"/>
      <c r="W15" s="67"/>
      <c r="X15" s="67"/>
      <c r="Y15" s="67"/>
      <c r="Z15" s="67"/>
    </row>
    <row r="16" spans="1:26" ht="15.75" customHeight="1" x14ac:dyDescent="0.15">
      <c r="A16" s="211"/>
      <c r="B16" s="357"/>
      <c r="C16" s="358"/>
      <c r="D16" s="358"/>
      <c r="E16" s="231">
        <v>570</v>
      </c>
      <c r="F16" s="358"/>
      <c r="G16" s="231">
        <v>1670</v>
      </c>
      <c r="H16" s="358"/>
      <c r="I16" s="231">
        <v>4270</v>
      </c>
      <c r="J16" s="358"/>
      <c r="K16" s="358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9"/>
      <c r="W16" s="67"/>
      <c r="X16" s="67"/>
      <c r="Y16" s="67"/>
      <c r="Z16" s="67"/>
    </row>
    <row r="17" spans="1:26" ht="15.75" customHeight="1" x14ac:dyDescent="0.15">
      <c r="A17" s="211"/>
      <c r="B17" s="360"/>
      <c r="C17" s="361"/>
      <c r="D17" s="361"/>
      <c r="E17" s="362">
        <v>570</v>
      </c>
      <c r="F17" s="361"/>
      <c r="G17" s="362">
        <v>1770</v>
      </c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3"/>
      <c r="W17" s="67"/>
      <c r="X17" s="67"/>
      <c r="Y17" s="67"/>
      <c r="Z17" s="67"/>
    </row>
    <row r="18" spans="1:26" ht="15.75" customHeight="1" x14ac:dyDescent="0.15">
      <c r="A18" s="364" t="s">
        <v>258</v>
      </c>
      <c r="B18" s="365">
        <f t="shared" ref="B18:V18" si="0">SUM(B3:B17)</f>
        <v>400</v>
      </c>
      <c r="C18" s="366">
        <f t="shared" si="0"/>
        <v>1180</v>
      </c>
      <c r="D18" s="366">
        <f t="shared" si="0"/>
        <v>3610</v>
      </c>
      <c r="E18" s="366">
        <f t="shared" si="0"/>
        <v>7210</v>
      </c>
      <c r="F18" s="366">
        <f t="shared" si="0"/>
        <v>11310</v>
      </c>
      <c r="G18" s="366">
        <f t="shared" si="0"/>
        <v>21800</v>
      </c>
      <c r="H18" s="366">
        <f t="shared" si="0"/>
        <v>27840</v>
      </c>
      <c r="I18" s="366">
        <f t="shared" si="0"/>
        <v>49730</v>
      </c>
      <c r="J18" s="366">
        <f t="shared" si="0"/>
        <v>64440</v>
      </c>
      <c r="K18" s="366">
        <f t="shared" si="0"/>
        <v>80420</v>
      </c>
      <c r="L18" s="366">
        <f t="shared" si="0"/>
        <v>109800</v>
      </c>
      <c r="M18" s="366">
        <f t="shared" si="0"/>
        <v>125700</v>
      </c>
      <c r="N18" s="366">
        <f t="shared" si="0"/>
        <v>139800</v>
      </c>
      <c r="O18" s="366">
        <f t="shared" si="0"/>
        <v>162000</v>
      </c>
      <c r="P18" s="366">
        <f t="shared" si="0"/>
        <v>189000</v>
      </c>
      <c r="Q18" s="366">
        <f t="shared" si="0"/>
        <v>222000</v>
      </c>
      <c r="R18" s="366">
        <f t="shared" si="0"/>
        <v>258900</v>
      </c>
      <c r="S18" s="366">
        <f t="shared" si="0"/>
        <v>315000</v>
      </c>
      <c r="T18" s="366">
        <f t="shared" si="0"/>
        <v>372000</v>
      </c>
      <c r="U18" s="366">
        <f t="shared" si="0"/>
        <v>429000</v>
      </c>
      <c r="V18" s="367">
        <f t="shared" si="0"/>
        <v>486000</v>
      </c>
      <c r="W18" s="67"/>
      <c r="X18" s="67"/>
      <c r="Y18" s="67"/>
      <c r="Z18" s="67"/>
    </row>
    <row r="19" spans="1:26" ht="15.75" customHeight="1" x14ac:dyDescent="0.1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 customHeight="1" x14ac:dyDescent="0.2">
      <c r="A20" s="54" t="s">
        <v>259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 x14ac:dyDescent="0.15">
      <c r="A21" s="55"/>
      <c r="B21" s="368" t="s">
        <v>260</v>
      </c>
      <c r="C21" s="369" t="s">
        <v>261</v>
      </c>
      <c r="D21" s="369" t="s">
        <v>262</v>
      </c>
      <c r="E21" s="369" t="s">
        <v>263</v>
      </c>
      <c r="F21" s="369" t="s">
        <v>264</v>
      </c>
      <c r="G21" s="369" t="s">
        <v>265</v>
      </c>
      <c r="H21" s="369" t="s">
        <v>266</v>
      </c>
      <c r="I21" s="369" t="s">
        <v>267</v>
      </c>
      <c r="J21" s="369" t="s">
        <v>268</v>
      </c>
      <c r="K21" s="369" t="s">
        <v>269</v>
      </c>
      <c r="L21" s="369" t="s">
        <v>270</v>
      </c>
      <c r="M21" s="370" t="s">
        <v>271</v>
      </c>
      <c r="N21" s="55"/>
      <c r="O21" s="55"/>
      <c r="P21" s="55"/>
      <c r="Q21" s="55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75" customHeight="1" x14ac:dyDescent="0.15">
      <c r="A22" s="371">
        <v>0</v>
      </c>
      <c r="B22" s="143">
        <v>50</v>
      </c>
      <c r="C22" s="69">
        <v>50</v>
      </c>
      <c r="D22" s="69">
        <v>50</v>
      </c>
      <c r="E22" s="69">
        <v>100</v>
      </c>
      <c r="F22" s="69">
        <v>100</v>
      </c>
      <c r="G22" s="69">
        <v>100</v>
      </c>
      <c r="H22" s="69">
        <v>200</v>
      </c>
      <c r="I22" s="69">
        <v>200</v>
      </c>
      <c r="J22" s="69">
        <v>200</v>
      </c>
      <c r="K22" s="69">
        <v>200</v>
      </c>
      <c r="L22" s="69">
        <v>200</v>
      </c>
      <c r="M22" s="146">
        <v>500</v>
      </c>
      <c r="N22" s="55"/>
      <c r="O22" s="55"/>
      <c r="P22" s="55"/>
      <c r="Q22" s="55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 x14ac:dyDescent="0.15">
      <c r="A23" s="372">
        <v>1</v>
      </c>
      <c r="B23" s="143">
        <v>50</v>
      </c>
      <c r="C23" s="69">
        <v>50</v>
      </c>
      <c r="D23" s="69">
        <v>50</v>
      </c>
      <c r="E23" s="373"/>
      <c r="F23" s="55"/>
      <c r="G23" s="55"/>
      <c r="H23" s="55"/>
      <c r="I23" s="55"/>
      <c r="J23" s="55"/>
      <c r="K23" s="55"/>
      <c r="L23" s="55"/>
      <c r="M23" s="374"/>
      <c r="N23" s="55"/>
      <c r="O23" s="55"/>
      <c r="P23" s="55"/>
      <c r="Q23" s="55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 x14ac:dyDescent="0.15">
      <c r="A24" s="372">
        <v>2</v>
      </c>
      <c r="B24" s="189"/>
      <c r="C24" s="55"/>
      <c r="D24" s="55"/>
      <c r="E24" s="373"/>
      <c r="F24" s="55"/>
      <c r="G24" s="55"/>
      <c r="H24" s="55"/>
      <c r="I24" s="55"/>
      <c r="J24" s="55"/>
      <c r="K24" s="55"/>
      <c r="L24" s="55"/>
      <c r="M24" s="374"/>
      <c r="N24" s="55"/>
      <c r="O24" s="55"/>
      <c r="P24" s="55"/>
      <c r="Q24" s="55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 x14ac:dyDescent="0.15">
      <c r="A25" s="372">
        <v>3</v>
      </c>
      <c r="B25" s="189"/>
      <c r="C25" s="55"/>
      <c r="D25" s="55"/>
      <c r="E25" s="373"/>
      <c r="F25" s="55"/>
      <c r="G25" s="55"/>
      <c r="H25" s="55"/>
      <c r="I25" s="55"/>
      <c r="J25" s="55"/>
      <c r="K25" s="55"/>
      <c r="L25" s="55"/>
      <c r="M25" s="374"/>
      <c r="N25" s="55"/>
      <c r="O25" s="55"/>
      <c r="P25" s="55"/>
      <c r="Q25" s="55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 x14ac:dyDescent="0.15">
      <c r="A26" s="372">
        <v>4</v>
      </c>
      <c r="B26" s="189"/>
      <c r="C26" s="55"/>
      <c r="D26" s="55"/>
      <c r="E26" s="373"/>
      <c r="F26" s="55"/>
      <c r="G26" s="55"/>
      <c r="H26" s="55"/>
      <c r="I26" s="55"/>
      <c r="J26" s="55"/>
      <c r="K26" s="55"/>
      <c r="L26" s="55"/>
      <c r="M26" s="374"/>
      <c r="N26" s="55"/>
      <c r="O26" s="55"/>
      <c r="P26" s="55"/>
      <c r="Q26" s="55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 x14ac:dyDescent="0.15">
      <c r="A27" s="372">
        <v>5</v>
      </c>
      <c r="B27" s="189"/>
      <c r="C27" s="55"/>
      <c r="D27" s="55"/>
      <c r="E27" s="373"/>
      <c r="F27" s="55"/>
      <c r="G27" s="55"/>
      <c r="H27" s="55"/>
      <c r="I27" s="55"/>
      <c r="J27" s="55"/>
      <c r="K27" s="55"/>
      <c r="L27" s="55"/>
      <c r="M27" s="374"/>
      <c r="N27" s="55"/>
      <c r="O27" s="55"/>
      <c r="P27" s="55"/>
      <c r="Q27" s="55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75" customHeight="1" x14ac:dyDescent="0.15">
      <c r="A28" s="372">
        <v>6</v>
      </c>
      <c r="B28" s="189"/>
      <c r="C28" s="55"/>
      <c r="D28" s="55"/>
      <c r="E28" s="373"/>
      <c r="F28" s="55"/>
      <c r="G28" s="55"/>
      <c r="H28" s="55"/>
      <c r="I28" s="55"/>
      <c r="J28" s="55"/>
      <c r="K28" s="55"/>
      <c r="L28" s="55"/>
      <c r="M28" s="374"/>
      <c r="N28" s="55"/>
      <c r="O28" s="55"/>
      <c r="P28" s="55"/>
      <c r="Q28" s="55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75" customHeight="1" x14ac:dyDescent="0.15">
      <c r="A29" s="372">
        <v>7</v>
      </c>
      <c r="B29" s="189"/>
      <c r="C29" s="55"/>
      <c r="D29" s="55"/>
      <c r="E29" s="373"/>
      <c r="F29" s="55"/>
      <c r="G29" s="55"/>
      <c r="H29" s="55"/>
      <c r="I29" s="55"/>
      <c r="J29" s="55"/>
      <c r="K29" s="55"/>
      <c r="L29" s="55"/>
      <c r="M29" s="374"/>
      <c r="N29" s="55"/>
      <c r="O29" s="55"/>
      <c r="P29" s="55"/>
      <c r="Q29" s="55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 x14ac:dyDescent="0.15">
      <c r="A30" s="372">
        <v>8</v>
      </c>
      <c r="B30" s="143">
        <v>200</v>
      </c>
      <c r="C30" s="69">
        <v>200</v>
      </c>
      <c r="D30" s="69">
        <v>200</v>
      </c>
      <c r="E30" s="373"/>
      <c r="F30" s="55"/>
      <c r="G30" s="55"/>
      <c r="H30" s="55"/>
      <c r="I30" s="55"/>
      <c r="J30" s="55"/>
      <c r="K30" s="55"/>
      <c r="L30" s="55"/>
      <c r="M30" s="374"/>
      <c r="N30" s="55"/>
      <c r="O30" s="55"/>
      <c r="P30" s="55"/>
      <c r="Q30" s="55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 x14ac:dyDescent="0.15">
      <c r="A31" s="375">
        <v>9</v>
      </c>
      <c r="B31" s="143">
        <v>350</v>
      </c>
      <c r="C31" s="69">
        <v>350</v>
      </c>
      <c r="D31" s="69">
        <v>350</v>
      </c>
      <c r="E31" s="373"/>
      <c r="F31" s="55"/>
      <c r="G31" s="55"/>
      <c r="H31" s="55"/>
      <c r="I31" s="55"/>
      <c r="J31" s="55"/>
      <c r="K31" s="55"/>
      <c r="L31" s="55"/>
      <c r="M31" s="374"/>
      <c r="N31" s="55"/>
      <c r="O31" s="55"/>
      <c r="P31" s="55"/>
      <c r="Q31" s="55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 x14ac:dyDescent="0.15">
      <c r="A32" s="376" t="s">
        <v>258</v>
      </c>
      <c r="B32" s="376">
        <f t="shared" ref="B32:M32" si="1">SUM(B22:B31)</f>
        <v>650</v>
      </c>
      <c r="C32" s="377">
        <f t="shared" si="1"/>
        <v>650</v>
      </c>
      <c r="D32" s="377">
        <f t="shared" si="1"/>
        <v>650</v>
      </c>
      <c r="E32" s="377">
        <f t="shared" si="1"/>
        <v>100</v>
      </c>
      <c r="F32" s="377">
        <f t="shared" si="1"/>
        <v>100</v>
      </c>
      <c r="G32" s="377">
        <f t="shared" si="1"/>
        <v>100</v>
      </c>
      <c r="H32" s="377">
        <f t="shared" si="1"/>
        <v>200</v>
      </c>
      <c r="I32" s="377">
        <f t="shared" si="1"/>
        <v>200</v>
      </c>
      <c r="J32" s="377">
        <f t="shared" si="1"/>
        <v>200</v>
      </c>
      <c r="K32" s="377">
        <f t="shared" si="1"/>
        <v>200</v>
      </c>
      <c r="L32" s="377">
        <f t="shared" si="1"/>
        <v>200</v>
      </c>
      <c r="M32" s="378">
        <f t="shared" si="1"/>
        <v>500</v>
      </c>
      <c r="N32" s="55"/>
      <c r="O32" s="55"/>
      <c r="P32" s="55"/>
      <c r="Q32" s="55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 x14ac:dyDescent="0.1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 x14ac:dyDescent="0.2">
      <c r="A34" s="54" t="s">
        <v>272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 x14ac:dyDescent="0.15">
      <c r="A35" s="55"/>
      <c r="B35" s="379" t="s">
        <v>273</v>
      </c>
      <c r="C35" s="380" t="s">
        <v>274</v>
      </c>
      <c r="D35" s="380" t="s">
        <v>275</v>
      </c>
      <c r="E35" s="380" t="s">
        <v>276</v>
      </c>
      <c r="F35" s="380" t="s">
        <v>277</v>
      </c>
      <c r="G35" s="380" t="s">
        <v>278</v>
      </c>
      <c r="H35" s="380" t="s">
        <v>279</v>
      </c>
      <c r="I35" s="380" t="s">
        <v>280</v>
      </c>
      <c r="J35" s="380" t="s">
        <v>281</v>
      </c>
      <c r="K35" s="380" t="s">
        <v>282</v>
      </c>
      <c r="L35" s="380" t="s">
        <v>283</v>
      </c>
      <c r="M35" s="380" t="s">
        <v>284</v>
      </c>
      <c r="N35" s="380" t="s">
        <v>285</v>
      </c>
      <c r="O35" s="380" t="s">
        <v>286</v>
      </c>
      <c r="P35" s="380" t="s">
        <v>273</v>
      </c>
      <c r="Q35" s="381" t="s">
        <v>287</v>
      </c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15">
      <c r="A36" s="371">
        <v>0</v>
      </c>
      <c r="B36" s="143">
        <v>100</v>
      </c>
      <c r="C36" s="69">
        <v>200</v>
      </c>
      <c r="D36" s="69">
        <v>200</v>
      </c>
      <c r="E36" s="69">
        <v>200</v>
      </c>
      <c r="F36" s="69">
        <v>200</v>
      </c>
      <c r="G36" s="69">
        <v>200</v>
      </c>
      <c r="H36" s="69">
        <v>200</v>
      </c>
      <c r="I36" s="69">
        <v>200</v>
      </c>
      <c r="J36" s="69">
        <v>200</v>
      </c>
      <c r="K36" s="69">
        <v>200</v>
      </c>
      <c r="L36" s="69">
        <v>200</v>
      </c>
      <c r="M36" s="69">
        <v>1500</v>
      </c>
      <c r="N36" s="69">
        <v>2000</v>
      </c>
      <c r="O36" s="69">
        <v>2000</v>
      </c>
      <c r="P36" s="69">
        <v>2000</v>
      </c>
      <c r="Q36" s="146">
        <v>2000</v>
      </c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 x14ac:dyDescent="0.15">
      <c r="A37" s="372">
        <v>1</v>
      </c>
      <c r="B37" s="143">
        <v>200</v>
      </c>
      <c r="C37" s="69">
        <v>400</v>
      </c>
      <c r="D37" s="69">
        <v>400</v>
      </c>
      <c r="E37" s="69">
        <v>400</v>
      </c>
      <c r="F37" s="69">
        <v>400</v>
      </c>
      <c r="G37" s="69">
        <v>400</v>
      </c>
      <c r="H37" s="69">
        <v>400</v>
      </c>
      <c r="I37" s="69">
        <v>400</v>
      </c>
      <c r="J37" s="69">
        <v>400</v>
      </c>
      <c r="K37" s="69">
        <v>400</v>
      </c>
      <c r="L37" s="69">
        <v>400</v>
      </c>
      <c r="M37" s="69"/>
      <c r="N37" s="69"/>
      <c r="O37" s="69"/>
      <c r="P37" s="69"/>
      <c r="Q37" s="71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 x14ac:dyDescent="0.15">
      <c r="A38" s="372">
        <v>2</v>
      </c>
      <c r="B38" s="143"/>
      <c r="C38" s="69">
        <v>600</v>
      </c>
      <c r="D38" s="69">
        <v>600</v>
      </c>
      <c r="E38" s="69">
        <v>600</v>
      </c>
      <c r="F38" s="69">
        <v>600</v>
      </c>
      <c r="G38" s="69">
        <v>600</v>
      </c>
      <c r="H38" s="69">
        <v>600</v>
      </c>
      <c r="I38" s="69">
        <v>600</v>
      </c>
      <c r="J38" s="69">
        <v>600</v>
      </c>
      <c r="K38" s="69">
        <v>600</v>
      </c>
      <c r="L38" s="69">
        <v>600</v>
      </c>
      <c r="M38" s="69"/>
      <c r="N38" s="69"/>
      <c r="O38" s="69"/>
      <c r="P38" s="69"/>
      <c r="Q38" s="71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 x14ac:dyDescent="0.15">
      <c r="A39" s="372">
        <v>3</v>
      </c>
      <c r="B39" s="143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71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 x14ac:dyDescent="0.15">
      <c r="A40" s="372">
        <v>4</v>
      </c>
      <c r="B40" s="143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71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 x14ac:dyDescent="0.15">
      <c r="A41" s="372">
        <v>5</v>
      </c>
      <c r="B41" s="143">
        <v>500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71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 x14ac:dyDescent="0.15">
      <c r="A42" s="372">
        <v>6</v>
      </c>
      <c r="B42" s="143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71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 x14ac:dyDescent="0.15">
      <c r="A43" s="372">
        <v>7</v>
      </c>
      <c r="B43" s="143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71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 x14ac:dyDescent="0.15">
      <c r="A44" s="372">
        <v>8</v>
      </c>
      <c r="B44" s="143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71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 x14ac:dyDescent="0.15">
      <c r="A45" s="375">
        <v>9</v>
      </c>
      <c r="B45" s="143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71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 x14ac:dyDescent="0.15">
      <c r="A46" s="376" t="s">
        <v>258</v>
      </c>
      <c r="B46" s="376">
        <f t="shared" ref="B46:Q46" si="2">SUM(B36:B45)</f>
        <v>800</v>
      </c>
      <c r="C46" s="377">
        <f t="shared" si="2"/>
        <v>1200</v>
      </c>
      <c r="D46" s="377">
        <f t="shared" si="2"/>
        <v>1200</v>
      </c>
      <c r="E46" s="377">
        <f t="shared" si="2"/>
        <v>1200</v>
      </c>
      <c r="F46" s="377">
        <f t="shared" si="2"/>
        <v>1200</v>
      </c>
      <c r="G46" s="377">
        <f t="shared" si="2"/>
        <v>1200</v>
      </c>
      <c r="H46" s="377">
        <f t="shared" si="2"/>
        <v>1200</v>
      </c>
      <c r="I46" s="377">
        <f t="shared" si="2"/>
        <v>1200</v>
      </c>
      <c r="J46" s="377">
        <f t="shared" si="2"/>
        <v>1200</v>
      </c>
      <c r="K46" s="377">
        <f t="shared" si="2"/>
        <v>1200</v>
      </c>
      <c r="L46" s="377">
        <f t="shared" si="2"/>
        <v>1200</v>
      </c>
      <c r="M46" s="377">
        <f t="shared" si="2"/>
        <v>1500</v>
      </c>
      <c r="N46" s="377">
        <f t="shared" si="2"/>
        <v>2000</v>
      </c>
      <c r="O46" s="377">
        <f t="shared" si="2"/>
        <v>2000</v>
      </c>
      <c r="P46" s="377">
        <f t="shared" si="2"/>
        <v>2000</v>
      </c>
      <c r="Q46" s="378">
        <f t="shared" si="2"/>
        <v>2000</v>
      </c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 x14ac:dyDescent="0.1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 x14ac:dyDescent="0.1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 x14ac:dyDescent="0.1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 x14ac:dyDescent="0.1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 x14ac:dyDescent="0.1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 x14ac:dyDescent="0.1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 x14ac:dyDescent="0.1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 x14ac:dyDescent="0.1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 x14ac:dyDescent="0.1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 x14ac:dyDescent="0.1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 x14ac:dyDescent="0.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1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 x14ac:dyDescent="0.1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 x14ac:dyDescent="0.1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 x14ac:dyDescent="0.1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 x14ac:dyDescent="0.1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 x14ac:dyDescent="0.1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 x14ac:dyDescent="0.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 x14ac:dyDescent="0.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 x14ac:dyDescent="0.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 x14ac:dyDescent="0.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 x14ac:dyDescent="0.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 x14ac:dyDescent="0.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 x14ac:dyDescent="0.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 x14ac:dyDescent="0.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 x14ac:dyDescent="0.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 x14ac:dyDescent="0.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 x14ac:dyDescent="0.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 x14ac:dyDescent="0.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 x14ac:dyDescent="0.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 x14ac:dyDescent="0.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 x14ac:dyDescent="0.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 x14ac:dyDescent="0.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 x14ac:dyDescent="0.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 x14ac:dyDescent="0.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 x14ac:dyDescent="0.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 x14ac:dyDescent="0.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 x14ac:dyDescent="0.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 x14ac:dyDescent="0.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 x14ac:dyDescent="0.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 x14ac:dyDescent="0.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 x14ac:dyDescent="0.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 x14ac:dyDescent="0.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 x14ac:dyDescent="0.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 x14ac:dyDescent="0.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 x14ac:dyDescent="0.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 x14ac:dyDescent="0.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 x14ac:dyDescent="0.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 x14ac:dyDescent="0.1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 x14ac:dyDescent="0.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 x14ac:dyDescent="0.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 x14ac:dyDescent="0.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 x14ac:dyDescent="0.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 x14ac:dyDescent="0.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 x14ac:dyDescent="0.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 x14ac:dyDescent="0.1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 x14ac:dyDescent="0.1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 x14ac:dyDescent="0.1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 x14ac:dyDescent="0.1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 x14ac:dyDescent="0.1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 x14ac:dyDescent="0.1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 x14ac:dyDescent="0.1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 x14ac:dyDescent="0.1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 x14ac:dyDescent="0.1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 x14ac:dyDescent="0.1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 x14ac:dyDescent="0.1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 x14ac:dyDescent="0.1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 x14ac:dyDescent="0.1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 x14ac:dyDescent="0.1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 x14ac:dyDescent="0.1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 x14ac:dyDescent="0.1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 x14ac:dyDescent="0.1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 x14ac:dyDescent="0.1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 x14ac:dyDescent="0.1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 x14ac:dyDescent="0.1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 x14ac:dyDescent="0.1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 x14ac:dyDescent="0.1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 x14ac:dyDescent="0.1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 x14ac:dyDescent="0.1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 x14ac:dyDescent="0.1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 x14ac:dyDescent="0.1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 x14ac:dyDescent="0.1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 x14ac:dyDescent="0.1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 x14ac:dyDescent="0.1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 x14ac:dyDescent="0.1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 x14ac:dyDescent="0.1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 x14ac:dyDescent="0.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 x14ac:dyDescent="0.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 x14ac:dyDescent="0.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 x14ac:dyDescent="0.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 x14ac:dyDescent="0.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 x14ac:dyDescent="0.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 x14ac:dyDescent="0.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 x14ac:dyDescent="0.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 x14ac:dyDescent="0.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 x14ac:dyDescent="0.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 x14ac:dyDescent="0.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 x14ac:dyDescent="0.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 x14ac:dyDescent="0.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 x14ac:dyDescent="0.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 x14ac:dyDescent="0.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 x14ac:dyDescent="0.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 x14ac:dyDescent="0.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 x14ac:dyDescent="0.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 x14ac:dyDescent="0.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 x14ac:dyDescent="0.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 x14ac:dyDescent="0.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 x14ac:dyDescent="0.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 x14ac:dyDescent="0.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 x14ac:dyDescent="0.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 x14ac:dyDescent="0.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 x14ac:dyDescent="0.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 x14ac:dyDescent="0.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 x14ac:dyDescent="0.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 x14ac:dyDescent="0.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 x14ac:dyDescent="0.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 x14ac:dyDescent="0.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 x14ac:dyDescent="0.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 x14ac:dyDescent="0.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 x14ac:dyDescent="0.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 x14ac:dyDescent="0.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 x14ac:dyDescent="0.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 x14ac:dyDescent="0.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 x14ac:dyDescent="0.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 x14ac:dyDescent="0.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 x14ac:dyDescent="0.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 x14ac:dyDescent="0.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 x14ac:dyDescent="0.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 x14ac:dyDescent="0.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 x14ac:dyDescent="0.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 x14ac:dyDescent="0.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 x14ac:dyDescent="0.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 x14ac:dyDescent="0.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 x14ac:dyDescent="0.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 x14ac:dyDescent="0.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 x14ac:dyDescent="0.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 x14ac:dyDescent="0.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 x14ac:dyDescent="0.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 x14ac:dyDescent="0.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 x14ac:dyDescent="0.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 x14ac:dyDescent="0.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 x14ac:dyDescent="0.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 x14ac:dyDescent="0.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 x14ac:dyDescent="0.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 x14ac:dyDescent="0.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 x14ac:dyDescent="0.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 x14ac:dyDescent="0.1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 x14ac:dyDescent="0.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 x14ac:dyDescent="0.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 x14ac:dyDescent="0.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 x14ac:dyDescent="0.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 x14ac:dyDescent="0.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 x14ac:dyDescent="0.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 x14ac:dyDescent="0.1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 x14ac:dyDescent="0.1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 x14ac:dyDescent="0.1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 x14ac:dyDescent="0.1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 x14ac:dyDescent="0.1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 x14ac:dyDescent="0.1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 x14ac:dyDescent="0.1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 x14ac:dyDescent="0.1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 x14ac:dyDescent="0.1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 x14ac:dyDescent="0.1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 x14ac:dyDescent="0.1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 x14ac:dyDescent="0.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 x14ac:dyDescent="0.1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 x14ac:dyDescent="0.1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 x14ac:dyDescent="0.1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 x14ac:dyDescent="0.1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 x14ac:dyDescent="0.1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 x14ac:dyDescent="0.15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75" customHeight="1" x14ac:dyDescent="0.15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75" customHeight="1" x14ac:dyDescent="0.15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75" customHeight="1" x14ac:dyDescent="0.15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75" customHeight="1" x14ac:dyDescent="0.1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75" customHeight="1" x14ac:dyDescent="0.15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75" customHeight="1" x14ac:dyDescent="0.15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75" customHeight="1" x14ac:dyDescent="0.15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75" customHeight="1" x14ac:dyDescent="0.1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75" customHeight="1" x14ac:dyDescent="0.15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75" customHeight="1" x14ac:dyDescent="0.15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75" customHeight="1" x14ac:dyDescent="0.15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75" customHeight="1" x14ac:dyDescent="0.15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75" customHeight="1" x14ac:dyDescent="0.15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75" customHeight="1" x14ac:dyDescent="0.1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75" customHeight="1" x14ac:dyDescent="0.15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75" customHeight="1" x14ac:dyDescent="0.15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75" customHeight="1" x14ac:dyDescent="0.15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75" customHeight="1" x14ac:dyDescent="0.15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75" customHeight="1" x14ac:dyDescent="0.15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75" customHeight="1" x14ac:dyDescent="0.15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75" customHeight="1" x14ac:dyDescent="0.15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75" customHeight="1" x14ac:dyDescent="0.15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75" customHeight="1" x14ac:dyDescent="0.15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75" customHeight="1" x14ac:dyDescent="0.1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75" customHeight="1" x14ac:dyDescent="0.15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3" width="12.6640625" customWidth="1"/>
    <col min="4" max="4" width="6.1640625" customWidth="1"/>
    <col min="5" max="6" width="12.6640625" customWidth="1"/>
  </cols>
  <sheetData>
    <row r="1" spans="1:26" ht="15.75" customHeight="1" x14ac:dyDescent="0.2">
      <c r="A1" s="488" t="s">
        <v>288</v>
      </c>
      <c r="B1" s="468"/>
      <c r="C1" s="382"/>
      <c r="D1" s="56"/>
      <c r="E1" s="488" t="s">
        <v>289</v>
      </c>
      <c r="F1" s="468"/>
      <c r="G1" s="468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383" t="s">
        <v>100</v>
      </c>
      <c r="B2" s="383" t="s">
        <v>290</v>
      </c>
      <c r="C2" s="384" t="s">
        <v>291</v>
      </c>
      <c r="D2" s="67"/>
      <c r="E2" s="385" t="s">
        <v>100</v>
      </c>
      <c r="F2" s="385" t="s">
        <v>292</v>
      </c>
      <c r="G2" s="386" t="s">
        <v>293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5.75" customHeight="1" x14ac:dyDescent="0.15">
      <c r="A3" s="265">
        <v>1</v>
      </c>
      <c r="B3" s="230">
        <v>2</v>
      </c>
      <c r="C3" s="232">
        <v>2</v>
      </c>
      <c r="D3" s="67"/>
      <c r="E3" s="265">
        <v>1</v>
      </c>
      <c r="F3" s="230">
        <v>100</v>
      </c>
      <c r="G3" s="232">
        <v>100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 customHeight="1" x14ac:dyDescent="0.15">
      <c r="A4" s="265">
        <v>2</v>
      </c>
      <c r="B4" s="230">
        <v>20</v>
      </c>
      <c r="C4" s="232">
        <v>22</v>
      </c>
      <c r="D4" s="67"/>
      <c r="E4" s="265">
        <v>2</v>
      </c>
      <c r="F4" s="230">
        <v>10000</v>
      </c>
      <c r="G4" s="232">
        <v>10100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.75" customHeight="1" x14ac:dyDescent="0.15">
      <c r="A5" s="265">
        <v>3</v>
      </c>
      <c r="B5" s="230">
        <v>100</v>
      </c>
      <c r="C5" s="232">
        <v>122</v>
      </c>
      <c r="D5" s="67"/>
      <c r="E5" s="265">
        <v>3</v>
      </c>
      <c r="F5" s="230">
        <v>50000</v>
      </c>
      <c r="G5" s="232">
        <v>60100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75" customHeight="1" x14ac:dyDescent="0.15">
      <c r="A6" s="265">
        <v>4</v>
      </c>
      <c r="B6" s="230">
        <v>200</v>
      </c>
      <c r="C6" s="232">
        <v>322</v>
      </c>
      <c r="D6" s="67"/>
      <c r="E6" s="265">
        <v>4</v>
      </c>
      <c r="F6" s="230">
        <v>100000</v>
      </c>
      <c r="G6" s="232">
        <v>160100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.75" customHeight="1" x14ac:dyDescent="0.15">
      <c r="A7" s="265">
        <v>5</v>
      </c>
      <c r="B7" s="230">
        <v>400</v>
      </c>
      <c r="C7" s="232">
        <v>722</v>
      </c>
      <c r="D7" s="67"/>
      <c r="E7" s="265">
        <v>5</v>
      </c>
      <c r="F7" s="230">
        <v>200000</v>
      </c>
      <c r="G7" s="232">
        <v>360100</v>
      </c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.75" customHeight="1" x14ac:dyDescent="0.15">
      <c r="A8" s="265">
        <v>6</v>
      </c>
      <c r="B8" s="230">
        <v>800</v>
      </c>
      <c r="C8" s="232">
        <v>1522</v>
      </c>
      <c r="D8" s="67"/>
      <c r="E8" s="265">
        <v>6</v>
      </c>
      <c r="F8" s="230">
        <v>400000</v>
      </c>
      <c r="G8" s="232">
        <v>760100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.75" customHeight="1" x14ac:dyDescent="0.15">
      <c r="A9" s="265">
        <v>7</v>
      </c>
      <c r="B9" s="230">
        <v>1400</v>
      </c>
      <c r="C9" s="232">
        <v>2922</v>
      </c>
      <c r="D9" s="67"/>
      <c r="E9" s="265">
        <v>7</v>
      </c>
      <c r="F9" s="230">
        <v>700000</v>
      </c>
      <c r="G9" s="232">
        <v>1460100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.75" customHeight="1" x14ac:dyDescent="0.15">
      <c r="A10" s="265">
        <v>8</v>
      </c>
      <c r="B10" s="230">
        <v>2000</v>
      </c>
      <c r="C10" s="232">
        <v>4922</v>
      </c>
      <c r="D10" s="67"/>
      <c r="E10" s="265">
        <v>8</v>
      </c>
      <c r="F10" s="230">
        <v>1000000</v>
      </c>
      <c r="G10" s="232">
        <v>2460100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.75" customHeight="1" x14ac:dyDescent="0.15">
      <c r="A11" s="265">
        <v>9</v>
      </c>
      <c r="B11" s="230">
        <v>2600</v>
      </c>
      <c r="C11" s="232">
        <v>7522</v>
      </c>
      <c r="D11" s="67"/>
      <c r="E11" s="265">
        <v>9</v>
      </c>
      <c r="F11" s="230">
        <v>1300000</v>
      </c>
      <c r="G11" s="232">
        <v>3760100</v>
      </c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.75" customHeight="1" x14ac:dyDescent="0.15">
      <c r="A12" s="265">
        <v>10</v>
      </c>
      <c r="B12" s="230">
        <v>3200</v>
      </c>
      <c r="C12" s="232">
        <v>10722</v>
      </c>
      <c r="D12" s="67"/>
      <c r="E12" s="265">
        <v>10</v>
      </c>
      <c r="F12" s="230">
        <v>1600000</v>
      </c>
      <c r="G12" s="232">
        <v>5360100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.75" customHeight="1" x14ac:dyDescent="0.15">
      <c r="A13" s="265">
        <v>11</v>
      </c>
      <c r="B13" s="230">
        <v>3600</v>
      </c>
      <c r="C13" s="232">
        <v>14322</v>
      </c>
      <c r="D13" s="67"/>
      <c r="E13" s="265">
        <v>11</v>
      </c>
      <c r="F13" s="230">
        <v>1800000</v>
      </c>
      <c r="G13" s="232">
        <v>7160100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.75" customHeight="1" x14ac:dyDescent="0.15">
      <c r="A14" s="265">
        <v>12</v>
      </c>
      <c r="B14" s="230">
        <v>4000</v>
      </c>
      <c r="C14" s="232">
        <v>18322</v>
      </c>
      <c r="D14" s="67"/>
      <c r="E14" s="265">
        <v>12</v>
      </c>
      <c r="F14" s="230">
        <v>2000000</v>
      </c>
      <c r="G14" s="232">
        <v>9160100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.75" customHeight="1" x14ac:dyDescent="0.15">
      <c r="A15" s="265">
        <v>13</v>
      </c>
      <c r="B15" s="230">
        <v>5600</v>
      </c>
      <c r="C15" s="232">
        <v>23922</v>
      </c>
      <c r="D15" s="67"/>
      <c r="E15" s="265">
        <v>13</v>
      </c>
      <c r="F15" s="230">
        <v>2700000</v>
      </c>
      <c r="G15" s="232">
        <v>11860100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.75" customHeight="1" x14ac:dyDescent="0.15">
      <c r="A16" s="265">
        <v>14</v>
      </c>
      <c r="B16" s="230">
        <v>6000</v>
      </c>
      <c r="C16" s="232">
        <v>29922</v>
      </c>
      <c r="D16" s="67"/>
      <c r="E16" s="265">
        <v>14</v>
      </c>
      <c r="F16" s="230">
        <v>3000000</v>
      </c>
      <c r="G16" s="232">
        <v>14860100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.75" customHeight="1" x14ac:dyDescent="0.15">
      <c r="A17" s="387">
        <v>15</v>
      </c>
      <c r="B17" s="388" t="s">
        <v>113</v>
      </c>
      <c r="C17" s="389"/>
      <c r="D17" s="67"/>
      <c r="E17" s="387">
        <v>15</v>
      </c>
      <c r="F17" s="388" t="s">
        <v>113</v>
      </c>
      <c r="G17" s="389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75" customHeight="1" x14ac:dyDescent="0.1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75" customHeight="1" x14ac:dyDescent="0.1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 customHeight="1" x14ac:dyDescent="0.1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 x14ac:dyDescent="0.1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75" customHeight="1" x14ac:dyDescent="0.1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 x14ac:dyDescent="0.1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 x14ac:dyDescent="0.1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 x14ac:dyDescent="0.1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 x14ac:dyDescent="0.1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 x14ac:dyDescent="0.1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75" customHeight="1" x14ac:dyDescent="0.1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75" customHeight="1" x14ac:dyDescent="0.1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 x14ac:dyDescent="0.1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 x14ac:dyDescent="0.1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 x14ac:dyDescent="0.1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 x14ac:dyDescent="0.1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 x14ac:dyDescent="0.1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 x14ac:dyDescent="0.1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 x14ac:dyDescent="0.1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 x14ac:dyDescent="0.1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75" customHeight="1" x14ac:dyDescent="0.1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75" customHeight="1" x14ac:dyDescent="0.1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 x14ac:dyDescent="0.1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 x14ac:dyDescent="0.1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 x14ac:dyDescent="0.1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 x14ac:dyDescent="0.1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 x14ac:dyDescent="0.1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 x14ac:dyDescent="0.1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 x14ac:dyDescent="0.1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 x14ac:dyDescent="0.1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 x14ac:dyDescent="0.1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 x14ac:dyDescent="0.1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75" customHeight="1" x14ac:dyDescent="0.1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75" customHeight="1" x14ac:dyDescent="0.1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75" customHeight="1" x14ac:dyDescent="0.1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75" customHeight="1" x14ac:dyDescent="0.1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75" customHeight="1" x14ac:dyDescent="0.1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75" customHeight="1" x14ac:dyDescent="0.1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75" customHeight="1" x14ac:dyDescent="0.15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75" customHeight="1" x14ac:dyDescent="0.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75" customHeight="1" x14ac:dyDescent="0.1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75" customHeight="1" x14ac:dyDescent="0.1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75" customHeight="1" x14ac:dyDescent="0.1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75" customHeight="1" x14ac:dyDescent="0.1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75" customHeight="1" x14ac:dyDescent="0.1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75" customHeight="1" x14ac:dyDescent="0.15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75" customHeight="1" x14ac:dyDescent="0.15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75" customHeight="1" x14ac:dyDescent="0.1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75" customHeight="1" x14ac:dyDescent="0.15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75" customHeight="1" x14ac:dyDescent="0.1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75" customHeight="1" x14ac:dyDescent="0.1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75" customHeight="1" x14ac:dyDescent="0.1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75" customHeight="1" x14ac:dyDescent="0.1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75" customHeight="1" x14ac:dyDescent="0.1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75" customHeight="1" x14ac:dyDescent="0.15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75" customHeight="1" x14ac:dyDescent="0.1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75" customHeight="1" x14ac:dyDescent="0.1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75" customHeight="1" x14ac:dyDescent="0.1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75" customHeight="1" x14ac:dyDescent="0.1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75" customHeight="1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75" customHeight="1" x14ac:dyDescent="0.1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75" customHeight="1" x14ac:dyDescent="0.15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75" customHeight="1" x14ac:dyDescent="0.1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75" customHeight="1" x14ac:dyDescent="0.1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75" customHeight="1" x14ac:dyDescent="0.1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75" customHeight="1" x14ac:dyDescent="0.1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75" customHeight="1" x14ac:dyDescent="0.1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75" customHeight="1" x14ac:dyDescent="0.1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75" customHeight="1" x14ac:dyDescent="0.1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75" customHeight="1" x14ac:dyDescent="0.1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75" customHeight="1" x14ac:dyDescent="0.1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75" customHeight="1" x14ac:dyDescent="0.1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75" customHeight="1" x14ac:dyDescent="0.1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75" customHeight="1" x14ac:dyDescent="0.1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75" customHeight="1" x14ac:dyDescent="0.1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75" customHeight="1" x14ac:dyDescent="0.1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75" customHeight="1" x14ac:dyDescent="0.1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75" customHeight="1" x14ac:dyDescent="0.1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75" customHeight="1" x14ac:dyDescent="0.1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75" customHeight="1" x14ac:dyDescent="0.1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75" customHeight="1" x14ac:dyDescent="0.1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75" customHeight="1" x14ac:dyDescent="0.1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75" customHeight="1" x14ac:dyDescent="0.1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75" customHeight="1" x14ac:dyDescent="0.1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75" customHeight="1" x14ac:dyDescent="0.1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75" customHeight="1" x14ac:dyDescent="0.1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75" customHeight="1" x14ac:dyDescent="0.1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75" customHeight="1" x14ac:dyDescent="0.1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75" customHeight="1" x14ac:dyDescent="0.1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75" customHeight="1" x14ac:dyDescent="0.1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75" customHeight="1" x14ac:dyDescent="0.1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75" customHeight="1" x14ac:dyDescent="0.1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75" customHeight="1" x14ac:dyDescent="0.1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75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75" customHeight="1" x14ac:dyDescent="0.1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75" customHeight="1" x14ac:dyDescent="0.1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75" customHeight="1" x14ac:dyDescent="0.1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75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75" customHeight="1" x14ac:dyDescent="0.1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75" customHeight="1" x14ac:dyDescent="0.1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75" customHeight="1" x14ac:dyDescent="0.1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75" customHeight="1" x14ac:dyDescent="0.1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75" customHeight="1" x14ac:dyDescent="0.1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75" customHeight="1" x14ac:dyDescent="0.1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75" customHeight="1" x14ac:dyDescent="0.1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75" customHeight="1" x14ac:dyDescent="0.1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75" customHeight="1" x14ac:dyDescent="0.1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75" customHeight="1" x14ac:dyDescent="0.1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75" customHeight="1" x14ac:dyDescent="0.15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75" customHeight="1" x14ac:dyDescent="0.1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75" customHeight="1" x14ac:dyDescent="0.15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75" customHeight="1" x14ac:dyDescent="0.15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75" customHeight="1" x14ac:dyDescent="0.15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75" customHeight="1" x14ac:dyDescent="0.1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75" customHeight="1" x14ac:dyDescent="0.1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75" customHeight="1" x14ac:dyDescent="0.1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75" customHeight="1" x14ac:dyDescent="0.15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75" customHeight="1" x14ac:dyDescent="0.1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75" customHeight="1" x14ac:dyDescent="0.15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75" customHeight="1" x14ac:dyDescent="0.15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75" customHeight="1" x14ac:dyDescent="0.15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75" customHeight="1" x14ac:dyDescent="0.15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75" customHeight="1" x14ac:dyDescent="0.15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75" customHeight="1" x14ac:dyDescent="0.1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75" customHeight="1" x14ac:dyDescent="0.1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75" customHeight="1" x14ac:dyDescent="0.1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75" customHeight="1" x14ac:dyDescent="0.1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75" customHeight="1" x14ac:dyDescent="0.1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75" customHeight="1" x14ac:dyDescent="0.1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75" customHeight="1" x14ac:dyDescent="0.1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75" customHeight="1" x14ac:dyDescent="0.1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75" customHeight="1" x14ac:dyDescent="0.15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75" customHeight="1" x14ac:dyDescent="0.1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75" customHeight="1" x14ac:dyDescent="0.1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75" customHeight="1" x14ac:dyDescent="0.1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75" customHeight="1" x14ac:dyDescent="0.1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75" customHeight="1" x14ac:dyDescent="0.1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75" customHeight="1" x14ac:dyDescent="0.1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75" customHeight="1" x14ac:dyDescent="0.1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75" customHeight="1" x14ac:dyDescent="0.1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75" customHeight="1" x14ac:dyDescent="0.1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75" customHeight="1" x14ac:dyDescent="0.1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75" customHeight="1" x14ac:dyDescent="0.15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75" customHeight="1" x14ac:dyDescent="0.1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75" customHeight="1" x14ac:dyDescent="0.15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75" customHeight="1" x14ac:dyDescent="0.15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75" customHeight="1" x14ac:dyDescent="0.15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75" customHeight="1" x14ac:dyDescent="0.1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75" customHeight="1" x14ac:dyDescent="0.15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75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75" customHeight="1" x14ac:dyDescent="0.15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75" customHeight="1" x14ac:dyDescent="0.15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75" customHeight="1" x14ac:dyDescent="0.15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75" customHeight="1" x14ac:dyDescent="0.15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75" customHeight="1" x14ac:dyDescent="0.15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75" customHeight="1" x14ac:dyDescent="0.15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75" customHeight="1" x14ac:dyDescent="0.15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75" customHeight="1" x14ac:dyDescent="0.1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75" customHeight="1" x14ac:dyDescent="0.15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75" customHeight="1" x14ac:dyDescent="0.15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75" customHeight="1" x14ac:dyDescent="0.1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75" customHeight="1" x14ac:dyDescent="0.15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75" customHeight="1" x14ac:dyDescent="0.15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75" customHeight="1" x14ac:dyDescent="0.15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75" customHeight="1" x14ac:dyDescent="0.15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75" customHeight="1" x14ac:dyDescent="0.15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75" customHeight="1" x14ac:dyDescent="0.15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75" customHeight="1" x14ac:dyDescent="0.1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75" customHeight="1" x14ac:dyDescent="0.15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75" customHeight="1" x14ac:dyDescent="0.15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75" customHeight="1" x14ac:dyDescent="0.15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75" customHeight="1" x14ac:dyDescent="0.15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75" customHeight="1" x14ac:dyDescent="0.15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75" customHeight="1" x14ac:dyDescent="0.15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75" customHeight="1" x14ac:dyDescent="0.15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75" customHeight="1" x14ac:dyDescent="0.15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75" customHeight="1" x14ac:dyDescent="0.15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75" customHeight="1" x14ac:dyDescent="0.1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75" customHeight="1" x14ac:dyDescent="0.15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75" customHeight="1" x14ac:dyDescent="0.15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75" customHeight="1" x14ac:dyDescent="0.15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75" customHeight="1" x14ac:dyDescent="0.15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75" customHeight="1" x14ac:dyDescent="0.15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75" customHeight="1" x14ac:dyDescent="0.15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75" customHeight="1" x14ac:dyDescent="0.15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75" customHeight="1" x14ac:dyDescent="0.15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75" customHeight="1" x14ac:dyDescent="0.1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75" customHeight="1" x14ac:dyDescent="0.1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75" customHeight="1" x14ac:dyDescent="0.15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75" customHeight="1" x14ac:dyDescent="0.15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75" customHeight="1" x14ac:dyDescent="0.15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75" customHeight="1" x14ac:dyDescent="0.15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75" customHeight="1" x14ac:dyDescent="0.1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75" customHeight="1" x14ac:dyDescent="0.15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75" customHeight="1" x14ac:dyDescent="0.15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75" customHeight="1" x14ac:dyDescent="0.15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75" customHeight="1" x14ac:dyDescent="0.1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75" customHeight="1" x14ac:dyDescent="0.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75" customHeight="1" x14ac:dyDescent="0.15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75" customHeight="1" x14ac:dyDescent="0.15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75" customHeight="1" x14ac:dyDescent="0.15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75" customHeight="1" x14ac:dyDescent="0.15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75" customHeight="1" x14ac:dyDescent="0.15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B1"/>
    <mergeCell ref="E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N803"/>
  <sheetViews>
    <sheetView workbookViewId="0"/>
  </sheetViews>
  <sheetFormatPr baseColWidth="10" defaultColWidth="12.6640625" defaultRowHeight="15" customHeight="1" x14ac:dyDescent="0.15"/>
  <cols>
    <col min="1" max="3" width="8.1640625" customWidth="1"/>
    <col min="4" max="6" width="6.6640625" customWidth="1"/>
    <col min="7" max="7" width="4.83203125" customWidth="1"/>
    <col min="8" max="11" width="8.33203125" customWidth="1"/>
    <col min="12" max="12" width="9.83203125" customWidth="1"/>
    <col min="13" max="16" width="7.6640625" customWidth="1"/>
    <col min="17" max="103" width="4.83203125" customWidth="1"/>
    <col min="104" max="104" width="4.6640625" customWidth="1"/>
    <col min="105" max="105" width="8.33203125" customWidth="1"/>
    <col min="106" max="108" width="10.6640625" customWidth="1"/>
    <col min="109" max="109" width="6.33203125" customWidth="1"/>
    <col min="110" max="110" width="6.5" customWidth="1"/>
    <col min="111" max="112" width="4.83203125" customWidth="1"/>
    <col min="113" max="115" width="7" customWidth="1"/>
    <col min="116" max="116" width="4.83203125" customWidth="1"/>
    <col min="117" max="119" width="7" customWidth="1"/>
    <col min="120" max="120" width="4.83203125" customWidth="1"/>
    <col min="121" max="122" width="7" customWidth="1"/>
    <col min="123" max="123" width="4.83203125" customWidth="1"/>
    <col min="124" max="132" width="7.5" customWidth="1"/>
    <col min="133" max="135" width="7" customWidth="1"/>
    <col min="136" max="144" width="4.83203125" customWidth="1"/>
  </cols>
  <sheetData>
    <row r="1" spans="1:144" ht="15.75" customHeight="1" x14ac:dyDescent="0.15">
      <c r="A1" s="390" t="s">
        <v>58</v>
      </c>
      <c r="B1" s="8"/>
      <c r="C1" s="8"/>
      <c r="D1" s="8" t="s">
        <v>294</v>
      </c>
      <c r="E1" s="8"/>
      <c r="F1" s="8"/>
      <c r="G1" s="8" t="s">
        <v>71</v>
      </c>
      <c r="H1" s="8"/>
      <c r="I1" s="8"/>
      <c r="J1" s="8"/>
      <c r="K1" s="8"/>
      <c r="L1" s="8" t="s">
        <v>295</v>
      </c>
      <c r="M1" s="8"/>
      <c r="N1" s="8"/>
      <c r="O1" s="8"/>
      <c r="P1" s="8"/>
      <c r="Q1" s="8"/>
      <c r="R1" s="391"/>
      <c r="S1" s="391"/>
      <c r="T1" s="494" t="s">
        <v>164</v>
      </c>
      <c r="U1" s="468"/>
      <c r="V1" s="494" t="s">
        <v>165</v>
      </c>
      <c r="W1" s="468"/>
      <c r="X1" s="494" t="s">
        <v>166</v>
      </c>
      <c r="Y1" s="468"/>
      <c r="Z1" s="494" t="s">
        <v>167</v>
      </c>
      <c r="AA1" s="468"/>
      <c r="AB1" s="494" t="s">
        <v>168</v>
      </c>
      <c r="AC1" s="479"/>
      <c r="AD1" s="495" t="s">
        <v>169</v>
      </c>
      <c r="AE1" s="468"/>
      <c r="AF1" s="496" t="s">
        <v>170</v>
      </c>
      <c r="AG1" s="468"/>
      <c r="AH1" s="496" t="s">
        <v>171</v>
      </c>
      <c r="AI1" s="468"/>
      <c r="AJ1" s="496" t="s">
        <v>172</v>
      </c>
      <c r="AK1" s="468"/>
      <c r="AL1" s="496" t="s">
        <v>173</v>
      </c>
      <c r="AM1" s="479"/>
      <c r="AN1" s="497" t="s">
        <v>179</v>
      </c>
      <c r="AO1" s="468"/>
      <c r="AP1" s="497" t="s">
        <v>131</v>
      </c>
      <c r="AQ1" s="468"/>
      <c r="AR1" s="497" t="s">
        <v>76</v>
      </c>
      <c r="AS1" s="468"/>
      <c r="AT1" s="497" t="s">
        <v>129</v>
      </c>
      <c r="AU1" s="468"/>
      <c r="AV1" s="497" t="s">
        <v>180</v>
      </c>
      <c r="AW1" s="479"/>
      <c r="AX1" s="498" t="s">
        <v>174</v>
      </c>
      <c r="AY1" s="468"/>
      <c r="AZ1" s="499" t="s">
        <v>175</v>
      </c>
      <c r="BA1" s="468"/>
      <c r="BB1" s="499" t="s">
        <v>176</v>
      </c>
      <c r="BC1" s="468"/>
      <c r="BD1" s="499" t="s">
        <v>177</v>
      </c>
      <c r="BE1" s="468"/>
      <c r="BF1" s="499" t="s">
        <v>178</v>
      </c>
      <c r="BG1" s="479"/>
      <c r="BH1" s="392"/>
      <c r="BI1" s="494" t="s">
        <v>164</v>
      </c>
      <c r="BJ1" s="468"/>
      <c r="BK1" s="494" t="s">
        <v>165</v>
      </c>
      <c r="BL1" s="468"/>
      <c r="BM1" s="494" t="s">
        <v>166</v>
      </c>
      <c r="BN1" s="468"/>
      <c r="BO1" s="494" t="s">
        <v>167</v>
      </c>
      <c r="BP1" s="468"/>
      <c r="BQ1" s="494" t="s">
        <v>168</v>
      </c>
      <c r="BR1" s="479"/>
      <c r="BS1" s="392"/>
      <c r="BT1" s="495" t="s">
        <v>169</v>
      </c>
      <c r="BU1" s="468"/>
      <c r="BV1" s="496" t="s">
        <v>170</v>
      </c>
      <c r="BW1" s="468"/>
      <c r="BX1" s="496" t="s">
        <v>171</v>
      </c>
      <c r="BY1" s="468"/>
      <c r="BZ1" s="496" t="s">
        <v>172</v>
      </c>
      <c r="CA1" s="468"/>
      <c r="CB1" s="496" t="s">
        <v>173</v>
      </c>
      <c r="CC1" s="479"/>
      <c r="CD1" s="392"/>
      <c r="CE1" s="497" t="s">
        <v>179</v>
      </c>
      <c r="CF1" s="468"/>
      <c r="CG1" s="497" t="s">
        <v>131</v>
      </c>
      <c r="CH1" s="468"/>
      <c r="CI1" s="497" t="s">
        <v>76</v>
      </c>
      <c r="CJ1" s="468"/>
      <c r="CK1" s="497" t="s">
        <v>129</v>
      </c>
      <c r="CL1" s="468"/>
      <c r="CM1" s="497" t="s">
        <v>180</v>
      </c>
      <c r="CN1" s="479"/>
      <c r="CO1" s="392"/>
      <c r="CP1" s="498" t="s">
        <v>174</v>
      </c>
      <c r="CQ1" s="468"/>
      <c r="CR1" s="499" t="s">
        <v>175</v>
      </c>
      <c r="CS1" s="468"/>
      <c r="CT1" s="499" t="s">
        <v>176</v>
      </c>
      <c r="CU1" s="468"/>
      <c r="CV1" s="499" t="s">
        <v>177</v>
      </c>
      <c r="CW1" s="468"/>
      <c r="CX1" s="499" t="s">
        <v>178</v>
      </c>
      <c r="CY1" s="479"/>
      <c r="CZ1" s="196" t="s">
        <v>296</v>
      </c>
      <c r="DA1" s="211"/>
      <c r="DB1" s="211"/>
      <c r="DC1" s="211"/>
      <c r="DD1" s="211"/>
      <c r="DE1" s="196" t="s">
        <v>91</v>
      </c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393" t="s">
        <v>297</v>
      </c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</row>
    <row r="2" spans="1:144" ht="15.75" customHeight="1" x14ac:dyDescent="0.2">
      <c r="A2" s="394" t="s">
        <v>100</v>
      </c>
      <c r="B2" s="394" t="s">
        <v>66</v>
      </c>
      <c r="C2" s="394" t="s">
        <v>298</v>
      </c>
      <c r="D2" s="395" t="s">
        <v>100</v>
      </c>
      <c r="E2" s="395" t="s">
        <v>70</v>
      </c>
      <c r="F2" s="395" t="s">
        <v>299</v>
      </c>
      <c r="G2" s="396" t="s">
        <v>75</v>
      </c>
      <c r="H2" s="396" t="s">
        <v>127</v>
      </c>
      <c r="I2" s="396" t="s">
        <v>300</v>
      </c>
      <c r="J2" s="396" t="s">
        <v>128</v>
      </c>
      <c r="K2" s="396" t="s">
        <v>301</v>
      </c>
      <c r="L2" s="397" t="s">
        <v>143</v>
      </c>
      <c r="M2" s="398" t="s">
        <v>147</v>
      </c>
      <c r="N2" s="398" t="s">
        <v>302</v>
      </c>
      <c r="O2" s="398" t="s">
        <v>303</v>
      </c>
      <c r="P2" s="398" t="s">
        <v>304</v>
      </c>
      <c r="Q2" s="399" t="s">
        <v>305</v>
      </c>
      <c r="R2" s="400" t="s">
        <v>306</v>
      </c>
      <c r="S2" s="401" t="s">
        <v>100</v>
      </c>
      <c r="T2" s="402" t="s">
        <v>181</v>
      </c>
      <c r="U2" s="403" t="s">
        <v>182</v>
      </c>
      <c r="V2" s="403" t="s">
        <v>181</v>
      </c>
      <c r="W2" s="403" t="s">
        <v>182</v>
      </c>
      <c r="X2" s="403" t="s">
        <v>181</v>
      </c>
      <c r="Y2" s="403" t="s">
        <v>182</v>
      </c>
      <c r="Z2" s="404" t="s">
        <v>183</v>
      </c>
      <c r="AA2" s="404" t="s">
        <v>184</v>
      </c>
      <c r="AB2" s="404" t="s">
        <v>183</v>
      </c>
      <c r="AC2" s="405" t="s">
        <v>184</v>
      </c>
      <c r="AD2" s="406" t="s">
        <v>185</v>
      </c>
      <c r="AE2" s="407" t="s">
        <v>186</v>
      </c>
      <c r="AF2" s="407" t="s">
        <v>185</v>
      </c>
      <c r="AG2" s="407" t="s">
        <v>186</v>
      </c>
      <c r="AH2" s="407" t="s">
        <v>185</v>
      </c>
      <c r="AI2" s="407" t="s">
        <v>186</v>
      </c>
      <c r="AJ2" s="408" t="s">
        <v>187</v>
      </c>
      <c r="AK2" s="408" t="s">
        <v>188</v>
      </c>
      <c r="AL2" s="408" t="s">
        <v>187</v>
      </c>
      <c r="AM2" s="409" t="s">
        <v>188</v>
      </c>
      <c r="AN2" s="410" t="s">
        <v>193</v>
      </c>
      <c r="AO2" s="410" t="s">
        <v>194</v>
      </c>
      <c r="AP2" s="410" t="s">
        <v>193</v>
      </c>
      <c r="AQ2" s="410" t="s">
        <v>194</v>
      </c>
      <c r="AR2" s="410" t="s">
        <v>193</v>
      </c>
      <c r="AS2" s="410" t="s">
        <v>194</v>
      </c>
      <c r="AT2" s="411" t="s">
        <v>195</v>
      </c>
      <c r="AU2" s="411" t="s">
        <v>196</v>
      </c>
      <c r="AV2" s="411" t="s">
        <v>195</v>
      </c>
      <c r="AW2" s="412" t="s">
        <v>196</v>
      </c>
      <c r="AX2" s="413" t="s">
        <v>189</v>
      </c>
      <c r="AY2" s="414" t="s">
        <v>190</v>
      </c>
      <c r="AZ2" s="414" t="s">
        <v>189</v>
      </c>
      <c r="BA2" s="414" t="s">
        <v>190</v>
      </c>
      <c r="BB2" s="414" t="s">
        <v>189</v>
      </c>
      <c r="BC2" s="414" t="s">
        <v>190</v>
      </c>
      <c r="BD2" s="415" t="s">
        <v>191</v>
      </c>
      <c r="BE2" s="415" t="s">
        <v>192</v>
      </c>
      <c r="BF2" s="415" t="s">
        <v>191</v>
      </c>
      <c r="BG2" s="416" t="s">
        <v>192</v>
      </c>
      <c r="BH2" s="417" t="s">
        <v>100</v>
      </c>
      <c r="BI2" s="402" t="s">
        <v>181</v>
      </c>
      <c r="BJ2" s="403" t="s">
        <v>182</v>
      </c>
      <c r="BK2" s="403" t="s">
        <v>181</v>
      </c>
      <c r="BL2" s="403" t="s">
        <v>182</v>
      </c>
      <c r="BM2" s="403" t="s">
        <v>181</v>
      </c>
      <c r="BN2" s="403" t="s">
        <v>182</v>
      </c>
      <c r="BO2" s="404" t="s">
        <v>183</v>
      </c>
      <c r="BP2" s="404" t="s">
        <v>184</v>
      </c>
      <c r="BQ2" s="404" t="s">
        <v>183</v>
      </c>
      <c r="BR2" s="405" t="s">
        <v>184</v>
      </c>
      <c r="BS2" s="417" t="s">
        <v>100</v>
      </c>
      <c r="BT2" s="406" t="s">
        <v>185</v>
      </c>
      <c r="BU2" s="407" t="s">
        <v>186</v>
      </c>
      <c r="BV2" s="407" t="s">
        <v>185</v>
      </c>
      <c r="BW2" s="407" t="s">
        <v>186</v>
      </c>
      <c r="BX2" s="407" t="s">
        <v>185</v>
      </c>
      <c r="BY2" s="407" t="s">
        <v>186</v>
      </c>
      <c r="BZ2" s="408" t="s">
        <v>187</v>
      </c>
      <c r="CA2" s="408" t="s">
        <v>188</v>
      </c>
      <c r="CB2" s="408" t="s">
        <v>187</v>
      </c>
      <c r="CC2" s="409" t="s">
        <v>188</v>
      </c>
      <c r="CD2" s="417" t="s">
        <v>100</v>
      </c>
      <c r="CE2" s="410" t="s">
        <v>193</v>
      </c>
      <c r="CF2" s="410" t="s">
        <v>194</v>
      </c>
      <c r="CG2" s="410" t="s">
        <v>193</v>
      </c>
      <c r="CH2" s="410" t="s">
        <v>194</v>
      </c>
      <c r="CI2" s="410" t="s">
        <v>193</v>
      </c>
      <c r="CJ2" s="410" t="s">
        <v>194</v>
      </c>
      <c r="CK2" s="411" t="s">
        <v>195</v>
      </c>
      <c r="CL2" s="411" t="s">
        <v>196</v>
      </c>
      <c r="CM2" s="411" t="s">
        <v>195</v>
      </c>
      <c r="CN2" s="412" t="s">
        <v>196</v>
      </c>
      <c r="CO2" s="417" t="s">
        <v>100</v>
      </c>
      <c r="CP2" s="413" t="s">
        <v>189</v>
      </c>
      <c r="CQ2" s="414" t="s">
        <v>190</v>
      </c>
      <c r="CR2" s="414" t="s">
        <v>189</v>
      </c>
      <c r="CS2" s="414" t="s">
        <v>190</v>
      </c>
      <c r="CT2" s="414" t="s">
        <v>189</v>
      </c>
      <c r="CU2" s="414" t="s">
        <v>190</v>
      </c>
      <c r="CV2" s="415" t="s">
        <v>191</v>
      </c>
      <c r="CW2" s="415" t="s">
        <v>192</v>
      </c>
      <c r="CX2" s="415" t="s">
        <v>191</v>
      </c>
      <c r="CY2" s="416" t="s">
        <v>192</v>
      </c>
      <c r="CZ2" s="418" t="s">
        <v>307</v>
      </c>
      <c r="DA2" s="418" t="s">
        <v>308</v>
      </c>
      <c r="DB2" s="418" t="s">
        <v>309</v>
      </c>
      <c r="DC2" s="418" t="s">
        <v>310</v>
      </c>
      <c r="DD2" s="418" t="s">
        <v>311</v>
      </c>
      <c r="DE2" s="419" t="s">
        <v>92</v>
      </c>
      <c r="DF2" s="419" t="s">
        <v>94</v>
      </c>
      <c r="DG2" s="210" t="s">
        <v>312</v>
      </c>
      <c r="DH2" s="245" t="s">
        <v>100</v>
      </c>
      <c r="DI2" s="246" t="s">
        <v>203</v>
      </c>
      <c r="DJ2" s="247" t="s">
        <v>204</v>
      </c>
      <c r="DK2" s="248" t="s">
        <v>93</v>
      </c>
      <c r="DL2" s="249" t="s">
        <v>100</v>
      </c>
      <c r="DM2" s="250" t="s">
        <v>203</v>
      </c>
      <c r="DN2" s="251" t="s">
        <v>204</v>
      </c>
      <c r="DO2" s="252" t="s">
        <v>93</v>
      </c>
      <c r="DP2" s="253" t="s">
        <v>100</v>
      </c>
      <c r="DQ2" s="254" t="s">
        <v>204</v>
      </c>
      <c r="DR2" s="255" t="s">
        <v>93</v>
      </c>
      <c r="DS2" s="245" t="s">
        <v>100</v>
      </c>
      <c r="DT2" s="246" t="s">
        <v>203</v>
      </c>
      <c r="DU2" s="247" t="s">
        <v>204</v>
      </c>
      <c r="DV2" s="248" t="s">
        <v>93</v>
      </c>
      <c r="DW2" s="250" t="s">
        <v>203</v>
      </c>
      <c r="DX2" s="251" t="s">
        <v>204</v>
      </c>
      <c r="DY2" s="252" t="s">
        <v>93</v>
      </c>
      <c r="DZ2" s="254" t="s">
        <v>203</v>
      </c>
      <c r="EA2" s="254" t="s">
        <v>204</v>
      </c>
      <c r="EB2" s="255" t="s">
        <v>93</v>
      </c>
      <c r="EC2" s="420" t="s">
        <v>100</v>
      </c>
      <c r="ED2" s="420" t="s">
        <v>313</v>
      </c>
      <c r="EE2" s="420" t="s">
        <v>314</v>
      </c>
      <c r="EF2" s="211"/>
      <c r="EG2" s="211"/>
      <c r="EH2" s="211"/>
      <c r="EI2" s="211"/>
      <c r="EJ2" s="211"/>
      <c r="EK2" s="211"/>
      <c r="EL2" s="211"/>
      <c r="EM2" s="211"/>
      <c r="EN2" s="211"/>
    </row>
    <row r="3" spans="1:144" ht="15.75" customHeight="1" x14ac:dyDescent="0.2">
      <c r="A3" s="421">
        <v>0</v>
      </c>
      <c r="B3" s="211">
        <v>0</v>
      </c>
      <c r="C3" s="211">
        <v>0</v>
      </c>
      <c r="D3" s="421">
        <v>0</v>
      </c>
      <c r="E3" s="211">
        <v>0</v>
      </c>
      <c r="F3" s="211">
        <v>0</v>
      </c>
      <c r="G3" s="422" t="s">
        <v>315</v>
      </c>
      <c r="H3" s="129">
        <v>0</v>
      </c>
      <c r="I3" s="129">
        <v>0</v>
      </c>
      <c r="J3" s="129">
        <v>0</v>
      </c>
      <c r="K3" s="129">
        <v>0</v>
      </c>
      <c r="L3" s="423" t="s">
        <v>316</v>
      </c>
      <c r="M3" s="69">
        <v>0</v>
      </c>
      <c r="N3" s="69">
        <v>0</v>
      </c>
      <c r="O3" s="69">
        <v>0</v>
      </c>
      <c r="P3" s="69">
        <v>0</v>
      </c>
      <c r="Q3" s="424" t="s">
        <v>133</v>
      </c>
      <c r="R3" s="425">
        <v>1</v>
      </c>
      <c r="S3" s="426">
        <v>0</v>
      </c>
      <c r="T3" s="211">
        <v>0</v>
      </c>
      <c r="U3" s="211">
        <v>0</v>
      </c>
      <c r="V3" s="211">
        <v>0</v>
      </c>
      <c r="W3" s="211">
        <v>0</v>
      </c>
      <c r="X3" s="211">
        <v>0</v>
      </c>
      <c r="Y3" s="211">
        <v>0</v>
      </c>
      <c r="Z3" s="211">
        <v>0</v>
      </c>
      <c r="AA3" s="211">
        <v>0</v>
      </c>
      <c r="AB3" s="211">
        <v>0</v>
      </c>
      <c r="AC3" s="211">
        <v>0</v>
      </c>
      <c r="AD3" s="211">
        <v>0</v>
      </c>
      <c r="AE3" s="211">
        <v>0</v>
      </c>
      <c r="AF3" s="211">
        <v>0</v>
      </c>
      <c r="AG3" s="211">
        <v>0</v>
      </c>
      <c r="AH3" s="211">
        <v>0</v>
      </c>
      <c r="AI3" s="211">
        <v>0</v>
      </c>
      <c r="AJ3" s="211">
        <v>0</v>
      </c>
      <c r="AK3" s="211">
        <v>0</v>
      </c>
      <c r="AL3" s="211">
        <v>0</v>
      </c>
      <c r="AM3" s="211">
        <v>0</v>
      </c>
      <c r="AN3" s="211">
        <v>0</v>
      </c>
      <c r="AO3" s="211">
        <v>0</v>
      </c>
      <c r="AP3" s="211">
        <v>0</v>
      </c>
      <c r="AQ3" s="211">
        <v>0</v>
      </c>
      <c r="AR3" s="211">
        <v>0</v>
      </c>
      <c r="AS3" s="211">
        <v>0</v>
      </c>
      <c r="AT3" s="211">
        <v>0</v>
      </c>
      <c r="AU3" s="211">
        <v>0</v>
      </c>
      <c r="AV3" s="211">
        <v>0</v>
      </c>
      <c r="AW3" s="211">
        <v>0</v>
      </c>
      <c r="AX3" s="211">
        <v>0</v>
      </c>
      <c r="AY3" s="211">
        <v>0</v>
      </c>
      <c r="AZ3" s="211">
        <v>0</v>
      </c>
      <c r="BA3" s="211">
        <v>0</v>
      </c>
      <c r="BB3" s="211">
        <v>0</v>
      </c>
      <c r="BC3" s="211">
        <v>0</v>
      </c>
      <c r="BD3" s="211">
        <v>0</v>
      </c>
      <c r="BE3" s="211">
        <v>0</v>
      </c>
      <c r="BF3" s="211">
        <v>0</v>
      </c>
      <c r="BG3" s="211">
        <v>0</v>
      </c>
      <c r="BH3" s="427">
        <v>0</v>
      </c>
      <c r="BI3" s="211">
        <f t="shared" ref="BI3:BR3" si="0">T3</f>
        <v>0</v>
      </c>
      <c r="BJ3" s="211">
        <f t="shared" si="0"/>
        <v>0</v>
      </c>
      <c r="BK3" s="211">
        <f t="shared" si="0"/>
        <v>0</v>
      </c>
      <c r="BL3" s="211">
        <f t="shared" si="0"/>
        <v>0</v>
      </c>
      <c r="BM3" s="211">
        <f t="shared" si="0"/>
        <v>0</v>
      </c>
      <c r="BN3" s="211">
        <f t="shared" si="0"/>
        <v>0</v>
      </c>
      <c r="BO3" s="211">
        <f t="shared" si="0"/>
        <v>0</v>
      </c>
      <c r="BP3" s="211">
        <f t="shared" si="0"/>
        <v>0</v>
      </c>
      <c r="BQ3" s="211">
        <f t="shared" si="0"/>
        <v>0</v>
      </c>
      <c r="BR3" s="211">
        <f t="shared" si="0"/>
        <v>0</v>
      </c>
      <c r="BS3" s="427">
        <v>0</v>
      </c>
      <c r="BT3" s="211">
        <f t="shared" ref="BT3:CC3" si="1">AD3</f>
        <v>0</v>
      </c>
      <c r="BU3" s="211">
        <f t="shared" si="1"/>
        <v>0</v>
      </c>
      <c r="BV3" s="211">
        <f t="shared" si="1"/>
        <v>0</v>
      </c>
      <c r="BW3" s="211">
        <f t="shared" si="1"/>
        <v>0</v>
      </c>
      <c r="BX3" s="211">
        <f t="shared" si="1"/>
        <v>0</v>
      </c>
      <c r="BY3" s="211">
        <f t="shared" si="1"/>
        <v>0</v>
      </c>
      <c r="BZ3" s="211">
        <f t="shared" si="1"/>
        <v>0</v>
      </c>
      <c r="CA3" s="211">
        <f t="shared" si="1"/>
        <v>0</v>
      </c>
      <c r="CB3" s="211">
        <f t="shared" si="1"/>
        <v>0</v>
      </c>
      <c r="CC3" s="211">
        <f t="shared" si="1"/>
        <v>0</v>
      </c>
      <c r="CD3" s="427">
        <v>0</v>
      </c>
      <c r="CE3" s="211">
        <f t="shared" ref="CE3:CN3" si="2">AN3</f>
        <v>0</v>
      </c>
      <c r="CF3" s="211">
        <f t="shared" si="2"/>
        <v>0</v>
      </c>
      <c r="CG3" s="211">
        <f t="shared" si="2"/>
        <v>0</v>
      </c>
      <c r="CH3" s="211">
        <f t="shared" si="2"/>
        <v>0</v>
      </c>
      <c r="CI3" s="211">
        <f t="shared" si="2"/>
        <v>0</v>
      </c>
      <c r="CJ3" s="211">
        <f t="shared" si="2"/>
        <v>0</v>
      </c>
      <c r="CK3" s="211">
        <f t="shared" si="2"/>
        <v>0</v>
      </c>
      <c r="CL3" s="211">
        <f t="shared" si="2"/>
        <v>0</v>
      </c>
      <c r="CM3" s="211">
        <f t="shared" si="2"/>
        <v>0</v>
      </c>
      <c r="CN3" s="211">
        <f t="shared" si="2"/>
        <v>0</v>
      </c>
      <c r="CO3" s="427">
        <v>0</v>
      </c>
      <c r="CP3" s="211">
        <f t="shared" ref="CP3:CY3" si="3">AX3</f>
        <v>0</v>
      </c>
      <c r="CQ3" s="211">
        <f t="shared" si="3"/>
        <v>0</v>
      </c>
      <c r="CR3" s="211">
        <f t="shared" si="3"/>
        <v>0</v>
      </c>
      <c r="CS3" s="211">
        <f t="shared" si="3"/>
        <v>0</v>
      </c>
      <c r="CT3" s="211">
        <f t="shared" si="3"/>
        <v>0</v>
      </c>
      <c r="CU3" s="211">
        <f t="shared" si="3"/>
        <v>0</v>
      </c>
      <c r="CV3" s="211">
        <f t="shared" si="3"/>
        <v>0</v>
      </c>
      <c r="CW3" s="211">
        <f t="shared" si="3"/>
        <v>0</v>
      </c>
      <c r="CX3" s="211">
        <f t="shared" si="3"/>
        <v>0</v>
      </c>
      <c r="CY3" s="211">
        <f t="shared" si="3"/>
        <v>0</v>
      </c>
      <c r="CZ3" s="421">
        <v>0</v>
      </c>
      <c r="DA3" s="211">
        <v>0</v>
      </c>
      <c r="DB3" s="211">
        <v>0</v>
      </c>
      <c r="DC3" s="211">
        <v>0</v>
      </c>
      <c r="DD3" s="211">
        <v>0</v>
      </c>
      <c r="DE3" s="211" t="s">
        <v>203</v>
      </c>
      <c r="DF3" s="211" t="s">
        <v>317</v>
      </c>
      <c r="DG3" s="211">
        <v>1</v>
      </c>
      <c r="DH3" s="265">
        <v>0</v>
      </c>
      <c r="DI3" s="230">
        <v>0</v>
      </c>
      <c r="DJ3" s="211">
        <v>0</v>
      </c>
      <c r="DK3" s="232">
        <v>0</v>
      </c>
      <c r="DL3" s="265">
        <v>0</v>
      </c>
      <c r="DM3" s="230">
        <v>0</v>
      </c>
      <c r="DN3" s="211">
        <v>0</v>
      </c>
      <c r="DO3" s="232">
        <v>0</v>
      </c>
      <c r="DP3" s="266">
        <v>0</v>
      </c>
      <c r="DQ3" s="211">
        <v>0</v>
      </c>
      <c r="DR3" s="232">
        <v>0</v>
      </c>
      <c r="DS3" s="265">
        <v>0</v>
      </c>
      <c r="DT3" s="230">
        <v>0</v>
      </c>
      <c r="DU3" s="211">
        <v>0</v>
      </c>
      <c r="DV3" s="232">
        <v>0</v>
      </c>
      <c r="DW3" s="230">
        <v>0</v>
      </c>
      <c r="DX3" s="211">
        <v>0</v>
      </c>
      <c r="DY3" s="232">
        <v>0</v>
      </c>
      <c r="DZ3" s="211">
        <v>0</v>
      </c>
      <c r="EA3" s="211">
        <v>0</v>
      </c>
      <c r="EB3" s="232">
        <v>0</v>
      </c>
      <c r="EC3" s="428">
        <v>0</v>
      </c>
      <c r="ED3" s="211">
        <v>0</v>
      </c>
      <c r="EE3" s="211">
        <v>0</v>
      </c>
      <c r="EF3" s="211"/>
      <c r="EG3" s="211" t="s">
        <v>318</v>
      </c>
      <c r="EH3" s="211" t="s">
        <v>319</v>
      </c>
      <c r="EI3" s="211" t="s">
        <v>320</v>
      </c>
      <c r="EJ3" s="211"/>
      <c r="EK3" s="211"/>
      <c r="EL3" s="211"/>
      <c r="EM3" s="211"/>
      <c r="EN3" s="211"/>
    </row>
    <row r="4" spans="1:144" ht="15.75" customHeight="1" x14ac:dyDescent="0.2">
      <c r="A4" s="421">
        <v>1</v>
      </c>
      <c r="B4" s="211">
        <v>5</v>
      </c>
      <c r="C4" s="211">
        <f t="shared" ref="C4:C258" si="4">C3+B4</f>
        <v>5</v>
      </c>
      <c r="D4" s="421">
        <v>1</v>
      </c>
      <c r="E4" s="211">
        <v>5</v>
      </c>
      <c r="F4" s="211">
        <f t="shared" ref="F4:F53" si="5">F3+E4</f>
        <v>5</v>
      </c>
      <c r="G4" s="429" t="s">
        <v>321</v>
      </c>
      <c r="H4" s="129">
        <v>40</v>
      </c>
      <c r="I4" s="129">
        <f t="shared" ref="I4:I37" si="6">H4+I3</f>
        <v>40</v>
      </c>
      <c r="J4" s="129">
        <v>4</v>
      </c>
      <c r="K4" s="129">
        <f t="shared" ref="K4:K37" si="7">J4+K3</f>
        <v>4</v>
      </c>
      <c r="L4" s="430" t="s">
        <v>322</v>
      </c>
      <c r="M4" s="69">
        <v>1000</v>
      </c>
      <c r="N4" s="69">
        <f>M4</f>
        <v>1000</v>
      </c>
      <c r="O4" s="69">
        <v>200</v>
      </c>
      <c r="P4" s="69">
        <f>O4</f>
        <v>200</v>
      </c>
      <c r="Q4" s="424" t="s">
        <v>131</v>
      </c>
      <c r="R4" s="425">
        <v>2</v>
      </c>
      <c r="S4" s="426">
        <v>1</v>
      </c>
      <c r="T4" s="431">
        <v>1</v>
      </c>
      <c r="U4" s="432">
        <v>0</v>
      </c>
      <c r="V4" s="211">
        <v>4</v>
      </c>
      <c r="W4" s="211">
        <v>0</v>
      </c>
      <c r="X4" s="211">
        <v>20</v>
      </c>
      <c r="Y4" s="211">
        <v>0</v>
      </c>
      <c r="Z4" s="432">
        <v>1</v>
      </c>
      <c r="AA4" s="432">
        <v>0</v>
      </c>
      <c r="AB4" s="211">
        <v>5</v>
      </c>
      <c r="AC4" s="211">
        <v>0</v>
      </c>
      <c r="AD4" s="230">
        <v>1</v>
      </c>
      <c r="AE4" s="211">
        <v>0</v>
      </c>
      <c r="AF4" s="211">
        <v>5</v>
      </c>
      <c r="AG4" s="211">
        <v>0</v>
      </c>
      <c r="AH4" s="211">
        <v>25</v>
      </c>
      <c r="AI4" s="211">
        <v>0</v>
      </c>
      <c r="AJ4" s="69">
        <v>1</v>
      </c>
      <c r="AK4" s="69">
        <v>0</v>
      </c>
      <c r="AL4" s="211">
        <v>5</v>
      </c>
      <c r="AM4" s="232">
        <v>0</v>
      </c>
      <c r="AN4" s="211">
        <v>1</v>
      </c>
      <c r="AO4" s="211">
        <v>0</v>
      </c>
      <c r="AP4" s="432">
        <v>5</v>
      </c>
      <c r="AQ4" s="432">
        <v>0</v>
      </c>
      <c r="AR4" s="432">
        <v>25</v>
      </c>
      <c r="AS4" s="432">
        <v>0</v>
      </c>
      <c r="AT4" s="432">
        <v>1</v>
      </c>
      <c r="AU4" s="432">
        <v>0</v>
      </c>
      <c r="AV4" s="432">
        <v>5</v>
      </c>
      <c r="AW4" s="433">
        <v>0</v>
      </c>
      <c r="AX4" s="230">
        <v>1</v>
      </c>
      <c r="AY4" s="211">
        <v>0</v>
      </c>
      <c r="AZ4" s="432">
        <v>5</v>
      </c>
      <c r="BA4" s="432">
        <v>0</v>
      </c>
      <c r="BB4" s="432">
        <v>25</v>
      </c>
      <c r="BC4" s="432">
        <v>0</v>
      </c>
      <c r="BD4" s="432">
        <v>1</v>
      </c>
      <c r="BE4" s="432">
        <v>0</v>
      </c>
      <c r="BF4" s="432">
        <f t="shared" ref="BF4:BG4" si="8">BD4*5</f>
        <v>5</v>
      </c>
      <c r="BG4" s="433">
        <f t="shared" si="8"/>
        <v>0</v>
      </c>
      <c r="BH4" s="427">
        <v>1</v>
      </c>
      <c r="BI4" s="211">
        <f t="shared" ref="BI4:BR4" si="9">BI3+T4</f>
        <v>1</v>
      </c>
      <c r="BJ4" s="211">
        <f t="shared" si="9"/>
        <v>0</v>
      </c>
      <c r="BK4" s="211">
        <f t="shared" si="9"/>
        <v>4</v>
      </c>
      <c r="BL4" s="211">
        <f t="shared" si="9"/>
        <v>0</v>
      </c>
      <c r="BM4" s="211">
        <f t="shared" si="9"/>
        <v>20</v>
      </c>
      <c r="BN4" s="211">
        <f t="shared" si="9"/>
        <v>0</v>
      </c>
      <c r="BO4" s="211">
        <f t="shared" si="9"/>
        <v>1</v>
      </c>
      <c r="BP4" s="211">
        <f t="shared" si="9"/>
        <v>0</v>
      </c>
      <c r="BQ4" s="211">
        <f t="shared" si="9"/>
        <v>5</v>
      </c>
      <c r="BR4" s="211">
        <f t="shared" si="9"/>
        <v>0</v>
      </c>
      <c r="BS4" s="427">
        <v>1</v>
      </c>
      <c r="BT4" s="211">
        <f t="shared" ref="BT4:CC4" si="10">BT3+AD4</f>
        <v>1</v>
      </c>
      <c r="BU4" s="211">
        <f t="shared" si="10"/>
        <v>0</v>
      </c>
      <c r="BV4" s="211">
        <f t="shared" si="10"/>
        <v>5</v>
      </c>
      <c r="BW4" s="211">
        <f t="shared" si="10"/>
        <v>0</v>
      </c>
      <c r="BX4" s="211">
        <f t="shared" si="10"/>
        <v>25</v>
      </c>
      <c r="BY4" s="211">
        <f t="shared" si="10"/>
        <v>0</v>
      </c>
      <c r="BZ4" s="211">
        <f t="shared" si="10"/>
        <v>1</v>
      </c>
      <c r="CA4" s="211">
        <f t="shared" si="10"/>
        <v>0</v>
      </c>
      <c r="CB4" s="211">
        <f t="shared" si="10"/>
        <v>5</v>
      </c>
      <c r="CC4" s="211">
        <f t="shared" si="10"/>
        <v>0</v>
      </c>
      <c r="CD4" s="427">
        <v>1</v>
      </c>
      <c r="CE4" s="211">
        <f t="shared" ref="CE4:CN4" si="11">CE3+AN4</f>
        <v>1</v>
      </c>
      <c r="CF4" s="211">
        <f t="shared" si="11"/>
        <v>0</v>
      </c>
      <c r="CG4" s="211">
        <f t="shared" si="11"/>
        <v>5</v>
      </c>
      <c r="CH4" s="211">
        <f t="shared" si="11"/>
        <v>0</v>
      </c>
      <c r="CI4" s="211">
        <f t="shared" si="11"/>
        <v>25</v>
      </c>
      <c r="CJ4" s="211">
        <f t="shared" si="11"/>
        <v>0</v>
      </c>
      <c r="CK4" s="211">
        <f t="shared" si="11"/>
        <v>1</v>
      </c>
      <c r="CL4" s="211">
        <f t="shared" si="11"/>
        <v>0</v>
      </c>
      <c r="CM4" s="211">
        <f t="shared" si="11"/>
        <v>5</v>
      </c>
      <c r="CN4" s="211">
        <f t="shared" si="11"/>
        <v>0</v>
      </c>
      <c r="CO4" s="427">
        <v>1</v>
      </c>
      <c r="CP4" s="211">
        <f t="shared" ref="CP4:CY4" si="12">CP3+AX4</f>
        <v>1</v>
      </c>
      <c r="CQ4" s="211">
        <f t="shared" si="12"/>
        <v>0</v>
      </c>
      <c r="CR4" s="211">
        <f t="shared" si="12"/>
        <v>5</v>
      </c>
      <c r="CS4" s="211">
        <f t="shared" si="12"/>
        <v>0</v>
      </c>
      <c r="CT4" s="211">
        <f t="shared" si="12"/>
        <v>25</v>
      </c>
      <c r="CU4" s="211">
        <f t="shared" si="12"/>
        <v>0</v>
      </c>
      <c r="CV4" s="211">
        <f t="shared" si="12"/>
        <v>1</v>
      </c>
      <c r="CW4" s="211">
        <f t="shared" si="12"/>
        <v>0</v>
      </c>
      <c r="CX4" s="211">
        <f t="shared" si="12"/>
        <v>5</v>
      </c>
      <c r="CY4" s="211">
        <f t="shared" si="12"/>
        <v>0</v>
      </c>
      <c r="CZ4" s="421">
        <v>1</v>
      </c>
      <c r="DA4" s="24">
        <v>100</v>
      </c>
      <c r="DB4" s="211">
        <f t="shared" ref="DB4:DB142" si="13">DA4+DB3</f>
        <v>100</v>
      </c>
      <c r="DC4" s="211"/>
      <c r="DD4" s="211">
        <f t="shared" ref="DD4:DD142" si="14">DC4+DD3</f>
        <v>0</v>
      </c>
      <c r="DE4" s="211" t="s">
        <v>204</v>
      </c>
      <c r="DF4" s="211" t="s">
        <v>323</v>
      </c>
      <c r="DG4" s="211">
        <v>2</v>
      </c>
      <c r="DH4" s="265">
        <v>1</v>
      </c>
      <c r="DI4" s="230">
        <v>500</v>
      </c>
      <c r="DJ4" s="211">
        <v>1000</v>
      </c>
      <c r="DK4" s="232">
        <v>2000</v>
      </c>
      <c r="DL4" s="265">
        <v>1</v>
      </c>
      <c r="DM4" s="230">
        <v>1000</v>
      </c>
      <c r="DN4" s="211">
        <v>1500</v>
      </c>
      <c r="DO4" s="232">
        <v>3000</v>
      </c>
      <c r="DP4" s="266">
        <v>1</v>
      </c>
      <c r="DQ4" s="211">
        <v>2000</v>
      </c>
      <c r="DR4" s="232">
        <v>4000</v>
      </c>
      <c r="DS4" s="265">
        <v>1</v>
      </c>
      <c r="DT4" s="211">
        <f t="shared" ref="DT4:DV4" si="15">DI4+DT3</f>
        <v>500</v>
      </c>
      <c r="DU4" s="211">
        <f t="shared" si="15"/>
        <v>1000</v>
      </c>
      <c r="DV4" s="211">
        <f t="shared" si="15"/>
        <v>2000</v>
      </c>
      <c r="DW4" s="211">
        <f t="shared" ref="DW4:DY4" si="16">DM4+DW3</f>
        <v>1000</v>
      </c>
      <c r="DX4" s="211">
        <f t="shared" si="16"/>
        <v>1500</v>
      </c>
      <c r="DY4" s="211">
        <f t="shared" si="16"/>
        <v>3000</v>
      </c>
      <c r="DZ4" s="211">
        <v>0</v>
      </c>
      <c r="EA4" s="211">
        <f t="shared" ref="EA4:EB4" si="17">DQ4+EA3</f>
        <v>2000</v>
      </c>
      <c r="EB4" s="211">
        <f t="shared" si="17"/>
        <v>4000</v>
      </c>
      <c r="EC4" s="428">
        <v>1</v>
      </c>
      <c r="ED4" s="211"/>
      <c r="EE4" s="211">
        <f t="shared" ref="EE4:EE62" si="18">ED4+EE3</f>
        <v>0</v>
      </c>
      <c r="EF4" s="211"/>
      <c r="EG4" s="211">
        <v>1</v>
      </c>
      <c r="EH4" s="211">
        <v>1</v>
      </c>
      <c r="EI4" s="211">
        <v>2</v>
      </c>
      <c r="EJ4" s="211">
        <f t="shared" ref="EJ4:EJ12" si="19">(EG4-1)*3+1+EH4</f>
        <v>2</v>
      </c>
      <c r="EK4" s="211"/>
      <c r="EL4" s="211"/>
      <c r="EM4" s="211"/>
      <c r="EN4" s="211"/>
    </row>
    <row r="5" spans="1:144" ht="15.75" customHeight="1" x14ac:dyDescent="0.2">
      <c r="A5" s="421">
        <v>2</v>
      </c>
      <c r="B5" s="211">
        <v>10</v>
      </c>
      <c r="C5" s="211">
        <f t="shared" si="4"/>
        <v>15</v>
      </c>
      <c r="D5" s="421">
        <v>2</v>
      </c>
      <c r="E5" s="211">
        <v>22</v>
      </c>
      <c r="F5" s="211">
        <f t="shared" si="5"/>
        <v>27</v>
      </c>
      <c r="G5" s="429" t="s">
        <v>324</v>
      </c>
      <c r="H5" s="122">
        <v>280</v>
      </c>
      <c r="I5" s="122">
        <f t="shared" si="6"/>
        <v>320</v>
      </c>
      <c r="J5" s="122">
        <v>20</v>
      </c>
      <c r="K5" s="122">
        <f t="shared" si="7"/>
        <v>24</v>
      </c>
      <c r="L5" s="434" t="s">
        <v>325</v>
      </c>
      <c r="M5" s="173">
        <v>4000</v>
      </c>
      <c r="N5" s="173">
        <f t="shared" ref="N5:N41" si="20">M5+N4</f>
        <v>5000</v>
      </c>
      <c r="O5" s="173">
        <v>400</v>
      </c>
      <c r="P5" s="173">
        <f t="shared" ref="P5:P41" si="21">O5+P4</f>
        <v>600</v>
      </c>
      <c r="Q5" s="424" t="s">
        <v>76</v>
      </c>
      <c r="R5" s="425">
        <v>3</v>
      </c>
      <c r="S5" s="426">
        <v>2</v>
      </c>
      <c r="T5" s="431">
        <v>2</v>
      </c>
      <c r="U5" s="432">
        <v>0</v>
      </c>
      <c r="V5" s="211">
        <v>8</v>
      </c>
      <c r="W5" s="211">
        <v>0</v>
      </c>
      <c r="X5" s="432">
        <v>40</v>
      </c>
      <c r="Y5" s="432">
        <v>0</v>
      </c>
      <c r="Z5" s="211">
        <v>2</v>
      </c>
      <c r="AA5" s="211">
        <v>0</v>
      </c>
      <c r="AB5" s="211">
        <v>10</v>
      </c>
      <c r="AC5" s="211">
        <v>0</v>
      </c>
      <c r="AD5" s="230">
        <v>2</v>
      </c>
      <c r="AE5" s="211">
        <v>0</v>
      </c>
      <c r="AF5" s="211">
        <v>10</v>
      </c>
      <c r="AG5" s="211">
        <v>0</v>
      </c>
      <c r="AH5" s="432">
        <v>50</v>
      </c>
      <c r="AI5" s="432">
        <v>0</v>
      </c>
      <c r="AJ5" s="69">
        <v>2</v>
      </c>
      <c r="AK5" s="69">
        <v>0</v>
      </c>
      <c r="AL5" s="435">
        <f t="shared" ref="AL5:AM5" si="22">AJ5*5</f>
        <v>10</v>
      </c>
      <c r="AM5" s="435">
        <f t="shared" si="22"/>
        <v>0</v>
      </c>
      <c r="AN5" s="211">
        <v>2</v>
      </c>
      <c r="AO5" s="211">
        <v>0</v>
      </c>
      <c r="AP5" s="432">
        <v>10</v>
      </c>
      <c r="AQ5" s="432">
        <v>0</v>
      </c>
      <c r="AR5" s="432">
        <v>50</v>
      </c>
      <c r="AS5" s="432">
        <v>0</v>
      </c>
      <c r="AT5" s="432">
        <v>2</v>
      </c>
      <c r="AU5" s="432">
        <v>0</v>
      </c>
      <c r="AV5" s="432">
        <v>10</v>
      </c>
      <c r="AW5" s="433">
        <v>0</v>
      </c>
      <c r="AX5" s="230">
        <v>2</v>
      </c>
      <c r="AY5" s="211">
        <v>0</v>
      </c>
      <c r="AZ5" s="432">
        <v>10</v>
      </c>
      <c r="BA5" s="432">
        <v>0</v>
      </c>
      <c r="BB5" s="432">
        <v>50</v>
      </c>
      <c r="BC5" s="432">
        <v>0</v>
      </c>
      <c r="BD5" s="432">
        <v>2</v>
      </c>
      <c r="BE5" s="432">
        <v>0</v>
      </c>
      <c r="BF5" s="432">
        <f t="shared" ref="BF5:BG5" si="23">BD5*5</f>
        <v>10</v>
      </c>
      <c r="BG5" s="433">
        <f t="shared" si="23"/>
        <v>0</v>
      </c>
      <c r="BH5" s="427">
        <v>2</v>
      </c>
      <c r="BI5" s="211">
        <f t="shared" ref="BI5:BR5" si="24">BI4+T5</f>
        <v>3</v>
      </c>
      <c r="BJ5" s="211">
        <f t="shared" si="24"/>
        <v>0</v>
      </c>
      <c r="BK5" s="211">
        <f t="shared" si="24"/>
        <v>12</v>
      </c>
      <c r="BL5" s="211">
        <f t="shared" si="24"/>
        <v>0</v>
      </c>
      <c r="BM5" s="211">
        <f t="shared" si="24"/>
        <v>60</v>
      </c>
      <c r="BN5" s="211">
        <f t="shared" si="24"/>
        <v>0</v>
      </c>
      <c r="BO5" s="211">
        <f t="shared" si="24"/>
        <v>3</v>
      </c>
      <c r="BP5" s="211">
        <f t="shared" si="24"/>
        <v>0</v>
      </c>
      <c r="BQ5" s="211">
        <f t="shared" si="24"/>
        <v>15</v>
      </c>
      <c r="BR5" s="211">
        <f t="shared" si="24"/>
        <v>0</v>
      </c>
      <c r="BS5" s="427">
        <v>2</v>
      </c>
      <c r="BT5" s="211">
        <f t="shared" ref="BT5:CC5" si="25">BT4+AD5</f>
        <v>3</v>
      </c>
      <c r="BU5" s="211">
        <f t="shared" si="25"/>
        <v>0</v>
      </c>
      <c r="BV5" s="211">
        <f t="shared" si="25"/>
        <v>15</v>
      </c>
      <c r="BW5" s="211">
        <f t="shared" si="25"/>
        <v>0</v>
      </c>
      <c r="BX5" s="211">
        <f t="shared" si="25"/>
        <v>75</v>
      </c>
      <c r="BY5" s="211">
        <f t="shared" si="25"/>
        <v>0</v>
      </c>
      <c r="BZ5" s="211">
        <f t="shared" si="25"/>
        <v>3</v>
      </c>
      <c r="CA5" s="211">
        <f t="shared" si="25"/>
        <v>0</v>
      </c>
      <c r="CB5" s="211">
        <f t="shared" si="25"/>
        <v>15</v>
      </c>
      <c r="CC5" s="211">
        <f t="shared" si="25"/>
        <v>0</v>
      </c>
      <c r="CD5" s="427">
        <v>2</v>
      </c>
      <c r="CE5" s="211">
        <f t="shared" ref="CE5:CN5" si="26">CE4+AN5</f>
        <v>3</v>
      </c>
      <c r="CF5" s="211">
        <f t="shared" si="26"/>
        <v>0</v>
      </c>
      <c r="CG5" s="211">
        <f t="shared" si="26"/>
        <v>15</v>
      </c>
      <c r="CH5" s="211">
        <f t="shared" si="26"/>
        <v>0</v>
      </c>
      <c r="CI5" s="211">
        <f t="shared" si="26"/>
        <v>75</v>
      </c>
      <c r="CJ5" s="211">
        <f t="shared" si="26"/>
        <v>0</v>
      </c>
      <c r="CK5" s="211">
        <f t="shared" si="26"/>
        <v>3</v>
      </c>
      <c r="CL5" s="211">
        <f t="shared" si="26"/>
        <v>0</v>
      </c>
      <c r="CM5" s="211">
        <f t="shared" si="26"/>
        <v>15</v>
      </c>
      <c r="CN5" s="211">
        <f t="shared" si="26"/>
        <v>0</v>
      </c>
      <c r="CO5" s="427">
        <v>2</v>
      </c>
      <c r="CP5" s="211">
        <f t="shared" ref="CP5:CY5" si="27">CP4+AX5</f>
        <v>3</v>
      </c>
      <c r="CQ5" s="211">
        <f t="shared" si="27"/>
        <v>0</v>
      </c>
      <c r="CR5" s="211">
        <f t="shared" si="27"/>
        <v>15</v>
      </c>
      <c r="CS5" s="211">
        <f t="shared" si="27"/>
        <v>0</v>
      </c>
      <c r="CT5" s="211">
        <f t="shared" si="27"/>
        <v>75</v>
      </c>
      <c r="CU5" s="211">
        <f t="shared" si="27"/>
        <v>0</v>
      </c>
      <c r="CV5" s="211">
        <f t="shared" si="27"/>
        <v>3</v>
      </c>
      <c r="CW5" s="211">
        <f t="shared" si="27"/>
        <v>0</v>
      </c>
      <c r="CX5" s="211">
        <f t="shared" si="27"/>
        <v>15</v>
      </c>
      <c r="CY5" s="211">
        <f t="shared" si="27"/>
        <v>0</v>
      </c>
      <c r="CZ5" s="421">
        <v>2</v>
      </c>
      <c r="DA5" s="24">
        <v>200</v>
      </c>
      <c r="DB5" s="211">
        <f t="shared" si="13"/>
        <v>300</v>
      </c>
      <c r="DC5" s="211"/>
      <c r="DD5" s="211">
        <f t="shared" si="14"/>
        <v>0</v>
      </c>
      <c r="DE5" s="211" t="s">
        <v>93</v>
      </c>
      <c r="DF5" s="211" t="s">
        <v>95</v>
      </c>
      <c r="DG5" s="211">
        <v>3</v>
      </c>
      <c r="DH5" s="265">
        <v>2</v>
      </c>
      <c r="DI5" s="230">
        <v>750</v>
      </c>
      <c r="DJ5" s="211">
        <v>1500</v>
      </c>
      <c r="DK5" s="232">
        <v>3000</v>
      </c>
      <c r="DL5" s="265">
        <v>2</v>
      </c>
      <c r="DM5" s="230">
        <v>1500</v>
      </c>
      <c r="DN5" s="211">
        <v>2250</v>
      </c>
      <c r="DO5" s="232">
        <v>4500</v>
      </c>
      <c r="DP5" s="266">
        <v>2</v>
      </c>
      <c r="DQ5" s="211">
        <v>3000</v>
      </c>
      <c r="DR5" s="232">
        <v>6000</v>
      </c>
      <c r="DS5" s="265">
        <v>2</v>
      </c>
      <c r="DT5" s="211">
        <f t="shared" ref="DT5:DV5" si="28">DI5+DT4</f>
        <v>1250</v>
      </c>
      <c r="DU5" s="211">
        <f t="shared" si="28"/>
        <v>2500</v>
      </c>
      <c r="DV5" s="211">
        <f t="shared" si="28"/>
        <v>5000</v>
      </c>
      <c r="DW5" s="211">
        <f t="shared" ref="DW5:DY5" si="29">DM5+DW4</f>
        <v>2500</v>
      </c>
      <c r="DX5" s="211">
        <f t="shared" si="29"/>
        <v>3750</v>
      </c>
      <c r="DY5" s="211">
        <f t="shared" si="29"/>
        <v>7500</v>
      </c>
      <c r="DZ5" s="211">
        <v>0</v>
      </c>
      <c r="EA5" s="211">
        <f t="shared" ref="EA5:EB5" si="30">DQ5+EA4</f>
        <v>5000</v>
      </c>
      <c r="EB5" s="211">
        <f t="shared" si="30"/>
        <v>10000</v>
      </c>
      <c r="EC5" s="428">
        <v>2</v>
      </c>
      <c r="ED5" s="211"/>
      <c r="EE5" s="211">
        <f t="shared" si="18"/>
        <v>0</v>
      </c>
      <c r="EF5" s="211"/>
      <c r="EG5" s="211">
        <v>1</v>
      </c>
      <c r="EH5" s="211">
        <v>2</v>
      </c>
      <c r="EI5" s="211">
        <v>3</v>
      </c>
      <c r="EJ5" s="211">
        <f t="shared" si="19"/>
        <v>3</v>
      </c>
      <c r="EK5" s="211"/>
      <c r="EL5" s="211"/>
      <c r="EM5" s="211"/>
      <c r="EN5" s="211"/>
    </row>
    <row r="6" spans="1:144" ht="15.75" customHeight="1" x14ac:dyDescent="0.2">
      <c r="A6" s="421">
        <v>3</v>
      </c>
      <c r="B6" s="211">
        <v>15</v>
      </c>
      <c r="C6" s="211">
        <f t="shared" si="4"/>
        <v>30</v>
      </c>
      <c r="D6" s="421">
        <v>3</v>
      </c>
      <c r="E6" s="211">
        <v>45</v>
      </c>
      <c r="F6" s="211">
        <f t="shared" si="5"/>
        <v>72</v>
      </c>
      <c r="G6" s="436" t="s">
        <v>326</v>
      </c>
      <c r="H6" s="122">
        <v>880</v>
      </c>
      <c r="I6" s="122">
        <f t="shared" si="6"/>
        <v>1200</v>
      </c>
      <c r="J6" s="122">
        <v>80</v>
      </c>
      <c r="K6" s="122">
        <f t="shared" si="7"/>
        <v>104</v>
      </c>
      <c r="L6" s="434" t="s">
        <v>327</v>
      </c>
      <c r="M6" s="69">
        <v>20000</v>
      </c>
      <c r="N6" s="69">
        <f t="shared" si="20"/>
        <v>25000</v>
      </c>
      <c r="O6" s="69">
        <v>600</v>
      </c>
      <c r="P6" s="69">
        <f t="shared" si="21"/>
        <v>1200</v>
      </c>
      <c r="Q6" s="424" t="s">
        <v>129</v>
      </c>
      <c r="R6" s="425">
        <v>4</v>
      </c>
      <c r="S6" s="426">
        <v>3</v>
      </c>
      <c r="T6" s="431">
        <v>2</v>
      </c>
      <c r="U6" s="432">
        <v>0</v>
      </c>
      <c r="V6" s="211">
        <v>8</v>
      </c>
      <c r="W6" s="211">
        <v>0</v>
      </c>
      <c r="X6" s="432">
        <v>40</v>
      </c>
      <c r="Y6" s="432">
        <v>0</v>
      </c>
      <c r="Z6" s="432">
        <v>2</v>
      </c>
      <c r="AA6" s="432">
        <v>0</v>
      </c>
      <c r="AB6" s="437">
        <v>10</v>
      </c>
      <c r="AC6" s="437">
        <v>0</v>
      </c>
      <c r="AD6" s="230">
        <v>2</v>
      </c>
      <c r="AE6" s="211">
        <v>0</v>
      </c>
      <c r="AF6" s="432">
        <v>10</v>
      </c>
      <c r="AG6" s="432">
        <v>0</v>
      </c>
      <c r="AH6" s="211">
        <v>50</v>
      </c>
      <c r="AI6" s="211">
        <v>0</v>
      </c>
      <c r="AJ6" s="69">
        <v>2</v>
      </c>
      <c r="AK6" s="69">
        <v>0</v>
      </c>
      <c r="AL6" s="435">
        <f t="shared" ref="AL6:AM6" si="31">AJ6*5</f>
        <v>10</v>
      </c>
      <c r="AM6" s="435">
        <f t="shared" si="31"/>
        <v>0</v>
      </c>
      <c r="AN6" s="211">
        <v>2</v>
      </c>
      <c r="AO6" s="211">
        <v>0</v>
      </c>
      <c r="AP6" s="432">
        <v>10</v>
      </c>
      <c r="AQ6" s="432">
        <v>0</v>
      </c>
      <c r="AR6" s="432">
        <v>50</v>
      </c>
      <c r="AS6" s="432">
        <v>0</v>
      </c>
      <c r="AT6" s="432">
        <v>2</v>
      </c>
      <c r="AU6" s="432">
        <v>0</v>
      </c>
      <c r="AV6" s="432">
        <v>10</v>
      </c>
      <c r="AW6" s="433">
        <v>0</v>
      </c>
      <c r="AX6" s="230">
        <v>2</v>
      </c>
      <c r="AY6" s="211">
        <v>0</v>
      </c>
      <c r="AZ6" s="432">
        <v>10</v>
      </c>
      <c r="BA6" s="432">
        <v>0</v>
      </c>
      <c r="BB6" s="211">
        <v>50</v>
      </c>
      <c r="BC6" s="211">
        <v>0</v>
      </c>
      <c r="BD6" s="432">
        <v>2</v>
      </c>
      <c r="BE6" s="432">
        <v>0</v>
      </c>
      <c r="BF6" s="432">
        <f t="shared" ref="BF6:BG6" si="32">BD6*5</f>
        <v>10</v>
      </c>
      <c r="BG6" s="433">
        <f t="shared" si="32"/>
        <v>0</v>
      </c>
      <c r="BH6" s="427">
        <v>3</v>
      </c>
      <c r="BI6" s="211">
        <f t="shared" ref="BI6:BR6" si="33">BI5+T6</f>
        <v>5</v>
      </c>
      <c r="BJ6" s="211">
        <f t="shared" si="33"/>
        <v>0</v>
      </c>
      <c r="BK6" s="211">
        <f t="shared" si="33"/>
        <v>20</v>
      </c>
      <c r="BL6" s="211">
        <f t="shared" si="33"/>
        <v>0</v>
      </c>
      <c r="BM6" s="211">
        <f t="shared" si="33"/>
        <v>100</v>
      </c>
      <c r="BN6" s="211">
        <f t="shared" si="33"/>
        <v>0</v>
      </c>
      <c r="BO6" s="211">
        <f t="shared" si="33"/>
        <v>5</v>
      </c>
      <c r="BP6" s="211">
        <f t="shared" si="33"/>
        <v>0</v>
      </c>
      <c r="BQ6" s="211">
        <f t="shared" si="33"/>
        <v>25</v>
      </c>
      <c r="BR6" s="211">
        <f t="shared" si="33"/>
        <v>0</v>
      </c>
      <c r="BS6" s="427">
        <v>3</v>
      </c>
      <c r="BT6" s="211">
        <f t="shared" ref="BT6:CC6" si="34">BT5+AD6</f>
        <v>5</v>
      </c>
      <c r="BU6" s="211">
        <f t="shared" si="34"/>
        <v>0</v>
      </c>
      <c r="BV6" s="211">
        <f t="shared" si="34"/>
        <v>25</v>
      </c>
      <c r="BW6" s="211">
        <f t="shared" si="34"/>
        <v>0</v>
      </c>
      <c r="BX6" s="211">
        <f t="shared" si="34"/>
        <v>125</v>
      </c>
      <c r="BY6" s="211">
        <f t="shared" si="34"/>
        <v>0</v>
      </c>
      <c r="BZ6" s="211">
        <f t="shared" si="34"/>
        <v>5</v>
      </c>
      <c r="CA6" s="211">
        <f t="shared" si="34"/>
        <v>0</v>
      </c>
      <c r="CB6" s="211">
        <f t="shared" si="34"/>
        <v>25</v>
      </c>
      <c r="CC6" s="211">
        <f t="shared" si="34"/>
        <v>0</v>
      </c>
      <c r="CD6" s="427">
        <v>3</v>
      </c>
      <c r="CE6" s="211">
        <f t="shared" ref="CE6:CN6" si="35">CE5+AN6</f>
        <v>5</v>
      </c>
      <c r="CF6" s="211">
        <f t="shared" si="35"/>
        <v>0</v>
      </c>
      <c r="CG6" s="211">
        <f t="shared" si="35"/>
        <v>25</v>
      </c>
      <c r="CH6" s="211">
        <f t="shared" si="35"/>
        <v>0</v>
      </c>
      <c r="CI6" s="211">
        <f t="shared" si="35"/>
        <v>125</v>
      </c>
      <c r="CJ6" s="211">
        <f t="shared" si="35"/>
        <v>0</v>
      </c>
      <c r="CK6" s="211">
        <f t="shared" si="35"/>
        <v>5</v>
      </c>
      <c r="CL6" s="211">
        <f t="shared" si="35"/>
        <v>0</v>
      </c>
      <c r="CM6" s="211">
        <f t="shared" si="35"/>
        <v>25</v>
      </c>
      <c r="CN6" s="211">
        <f t="shared" si="35"/>
        <v>0</v>
      </c>
      <c r="CO6" s="427">
        <v>3</v>
      </c>
      <c r="CP6" s="211">
        <f t="shared" ref="CP6:CY6" si="36">CP5+AX6</f>
        <v>5</v>
      </c>
      <c r="CQ6" s="211">
        <f t="shared" si="36"/>
        <v>0</v>
      </c>
      <c r="CR6" s="211">
        <f t="shared" si="36"/>
        <v>25</v>
      </c>
      <c r="CS6" s="211">
        <f t="shared" si="36"/>
        <v>0</v>
      </c>
      <c r="CT6" s="211">
        <f t="shared" si="36"/>
        <v>125</v>
      </c>
      <c r="CU6" s="211">
        <f t="shared" si="36"/>
        <v>0</v>
      </c>
      <c r="CV6" s="211">
        <f t="shared" si="36"/>
        <v>5</v>
      </c>
      <c r="CW6" s="211">
        <f t="shared" si="36"/>
        <v>0</v>
      </c>
      <c r="CX6" s="211">
        <f t="shared" si="36"/>
        <v>25</v>
      </c>
      <c r="CY6" s="211">
        <f t="shared" si="36"/>
        <v>0</v>
      </c>
      <c r="CZ6" s="421">
        <v>3</v>
      </c>
      <c r="DA6" s="24">
        <v>300</v>
      </c>
      <c r="DB6" s="211">
        <f t="shared" si="13"/>
        <v>600</v>
      </c>
      <c r="DC6" s="211"/>
      <c r="DD6" s="211">
        <f t="shared" si="14"/>
        <v>0</v>
      </c>
      <c r="DE6" s="211"/>
      <c r="DF6" s="211"/>
      <c r="DG6" s="211"/>
      <c r="DH6" s="265">
        <v>3</v>
      </c>
      <c r="DI6" s="230">
        <v>1000</v>
      </c>
      <c r="DJ6" s="211">
        <v>2000</v>
      </c>
      <c r="DK6" s="232">
        <v>4000</v>
      </c>
      <c r="DL6" s="265">
        <v>3</v>
      </c>
      <c r="DM6" s="230">
        <v>2000</v>
      </c>
      <c r="DN6" s="211">
        <v>3000</v>
      </c>
      <c r="DO6" s="232">
        <v>6000</v>
      </c>
      <c r="DP6" s="266">
        <v>3</v>
      </c>
      <c r="DQ6" s="211">
        <v>4000</v>
      </c>
      <c r="DR6" s="232">
        <v>8000</v>
      </c>
      <c r="DS6" s="265">
        <v>3</v>
      </c>
      <c r="DT6" s="211">
        <f t="shared" ref="DT6:DV6" si="37">DI6+DT5</f>
        <v>2250</v>
      </c>
      <c r="DU6" s="211">
        <f t="shared" si="37"/>
        <v>4500</v>
      </c>
      <c r="DV6" s="211">
        <f t="shared" si="37"/>
        <v>9000</v>
      </c>
      <c r="DW6" s="211">
        <f t="shared" ref="DW6:DY6" si="38">DM6+DW5</f>
        <v>4500</v>
      </c>
      <c r="DX6" s="211">
        <f t="shared" si="38"/>
        <v>6750</v>
      </c>
      <c r="DY6" s="211">
        <f t="shared" si="38"/>
        <v>13500</v>
      </c>
      <c r="DZ6" s="211">
        <v>0</v>
      </c>
      <c r="EA6" s="211">
        <f t="shared" ref="EA6:EB6" si="39">DQ6+EA5</f>
        <v>9000</v>
      </c>
      <c r="EB6" s="211">
        <f t="shared" si="39"/>
        <v>18000</v>
      </c>
      <c r="EC6" s="428">
        <v>3</v>
      </c>
      <c r="ED6" s="211"/>
      <c r="EE6" s="211">
        <f t="shared" si="18"/>
        <v>0</v>
      </c>
      <c r="EF6" s="211"/>
      <c r="EG6" s="211">
        <v>1</v>
      </c>
      <c r="EH6" s="211">
        <v>3</v>
      </c>
      <c r="EI6" s="211">
        <v>4</v>
      </c>
      <c r="EJ6" s="211">
        <f t="shared" si="19"/>
        <v>4</v>
      </c>
      <c r="EK6" s="211"/>
      <c r="EL6" s="211"/>
      <c r="EM6" s="211"/>
      <c r="EN6" s="211"/>
    </row>
    <row r="7" spans="1:144" ht="15.75" customHeight="1" x14ac:dyDescent="0.2">
      <c r="A7" s="421">
        <v>4</v>
      </c>
      <c r="B7" s="211">
        <v>20</v>
      </c>
      <c r="C7" s="211">
        <f t="shared" si="4"/>
        <v>50</v>
      </c>
      <c r="D7" s="421">
        <v>4</v>
      </c>
      <c r="E7" s="211">
        <v>75</v>
      </c>
      <c r="F7" s="211">
        <f t="shared" si="5"/>
        <v>147</v>
      </c>
      <c r="G7" s="436" t="s">
        <v>328</v>
      </c>
      <c r="H7" s="129">
        <v>3120</v>
      </c>
      <c r="I7" s="129">
        <f t="shared" si="6"/>
        <v>4320</v>
      </c>
      <c r="J7" s="129">
        <v>200</v>
      </c>
      <c r="K7" s="129">
        <f t="shared" si="7"/>
        <v>304</v>
      </c>
      <c r="L7" s="438" t="s">
        <v>329</v>
      </c>
      <c r="M7" s="69">
        <v>20000</v>
      </c>
      <c r="N7" s="69">
        <f t="shared" si="20"/>
        <v>45000</v>
      </c>
      <c r="O7" s="69">
        <v>600</v>
      </c>
      <c r="P7" s="69">
        <f t="shared" si="21"/>
        <v>1800</v>
      </c>
      <c r="Q7" s="424" t="s">
        <v>180</v>
      </c>
      <c r="R7" s="425">
        <v>5</v>
      </c>
      <c r="S7" s="426">
        <v>4</v>
      </c>
      <c r="T7" s="431">
        <v>2</v>
      </c>
      <c r="U7" s="432">
        <v>0</v>
      </c>
      <c r="V7" s="211">
        <v>8</v>
      </c>
      <c r="W7" s="211">
        <v>0</v>
      </c>
      <c r="X7" s="432">
        <v>40</v>
      </c>
      <c r="Y7" s="432">
        <v>0</v>
      </c>
      <c r="Z7" s="211">
        <v>2</v>
      </c>
      <c r="AA7" s="211">
        <v>0</v>
      </c>
      <c r="AB7" s="437">
        <v>10</v>
      </c>
      <c r="AC7" s="437">
        <v>0</v>
      </c>
      <c r="AD7" s="230">
        <v>2</v>
      </c>
      <c r="AE7" s="211">
        <v>0</v>
      </c>
      <c r="AF7" s="432">
        <v>12</v>
      </c>
      <c r="AG7" s="432">
        <v>0</v>
      </c>
      <c r="AH7" s="211">
        <v>60</v>
      </c>
      <c r="AI7" s="211">
        <v>0</v>
      </c>
      <c r="AJ7" s="69">
        <v>2</v>
      </c>
      <c r="AK7" s="69">
        <v>0</v>
      </c>
      <c r="AL7" s="435">
        <f t="shared" ref="AL7:AM7" si="40">AJ7*5</f>
        <v>10</v>
      </c>
      <c r="AM7" s="435">
        <f t="shared" si="40"/>
        <v>0</v>
      </c>
      <c r="AN7" s="211">
        <v>2</v>
      </c>
      <c r="AO7" s="211">
        <v>0</v>
      </c>
      <c r="AP7" s="432">
        <v>10</v>
      </c>
      <c r="AQ7" s="432">
        <v>0</v>
      </c>
      <c r="AR7" s="432">
        <v>50</v>
      </c>
      <c r="AS7" s="432">
        <v>0</v>
      </c>
      <c r="AT7" s="432">
        <v>2</v>
      </c>
      <c r="AU7" s="432">
        <v>0</v>
      </c>
      <c r="AV7" s="432">
        <v>10</v>
      </c>
      <c r="AW7" s="433">
        <v>0</v>
      </c>
      <c r="AX7" s="230">
        <v>2</v>
      </c>
      <c r="AY7" s="211">
        <v>0</v>
      </c>
      <c r="AZ7" s="432">
        <v>10</v>
      </c>
      <c r="BA7" s="432">
        <v>0</v>
      </c>
      <c r="BB7" s="432">
        <v>50</v>
      </c>
      <c r="BC7" s="432">
        <v>0</v>
      </c>
      <c r="BD7" s="432">
        <v>2</v>
      </c>
      <c r="BE7" s="432">
        <v>0</v>
      </c>
      <c r="BF7" s="432">
        <f t="shared" ref="BF7:BG7" si="41">BD7*5</f>
        <v>10</v>
      </c>
      <c r="BG7" s="433">
        <f t="shared" si="41"/>
        <v>0</v>
      </c>
      <c r="BH7" s="427">
        <v>4</v>
      </c>
      <c r="BI7" s="211">
        <f t="shared" ref="BI7:BR7" si="42">BI6+T7</f>
        <v>7</v>
      </c>
      <c r="BJ7" s="211">
        <f t="shared" si="42"/>
        <v>0</v>
      </c>
      <c r="BK7" s="211">
        <f t="shared" si="42"/>
        <v>28</v>
      </c>
      <c r="BL7" s="211">
        <f t="shared" si="42"/>
        <v>0</v>
      </c>
      <c r="BM7" s="211">
        <f t="shared" si="42"/>
        <v>140</v>
      </c>
      <c r="BN7" s="211">
        <f t="shared" si="42"/>
        <v>0</v>
      </c>
      <c r="BO7" s="211">
        <f t="shared" si="42"/>
        <v>7</v>
      </c>
      <c r="BP7" s="211">
        <f t="shared" si="42"/>
        <v>0</v>
      </c>
      <c r="BQ7" s="211">
        <f t="shared" si="42"/>
        <v>35</v>
      </c>
      <c r="BR7" s="211">
        <f t="shared" si="42"/>
        <v>0</v>
      </c>
      <c r="BS7" s="427">
        <v>4</v>
      </c>
      <c r="BT7" s="211">
        <f t="shared" ref="BT7:CC7" si="43">BT6+AD7</f>
        <v>7</v>
      </c>
      <c r="BU7" s="211">
        <f t="shared" si="43"/>
        <v>0</v>
      </c>
      <c r="BV7" s="211">
        <f t="shared" si="43"/>
        <v>37</v>
      </c>
      <c r="BW7" s="211">
        <f t="shared" si="43"/>
        <v>0</v>
      </c>
      <c r="BX7" s="211">
        <f t="shared" si="43"/>
        <v>185</v>
      </c>
      <c r="BY7" s="211">
        <f t="shared" si="43"/>
        <v>0</v>
      </c>
      <c r="BZ7" s="211">
        <f t="shared" si="43"/>
        <v>7</v>
      </c>
      <c r="CA7" s="211">
        <f t="shared" si="43"/>
        <v>0</v>
      </c>
      <c r="CB7" s="211">
        <f t="shared" si="43"/>
        <v>35</v>
      </c>
      <c r="CC7" s="211">
        <f t="shared" si="43"/>
        <v>0</v>
      </c>
      <c r="CD7" s="427">
        <v>4</v>
      </c>
      <c r="CE7" s="211">
        <f t="shared" ref="CE7:CN7" si="44">CE6+AN7</f>
        <v>7</v>
      </c>
      <c r="CF7" s="211">
        <f t="shared" si="44"/>
        <v>0</v>
      </c>
      <c r="CG7" s="211">
        <f t="shared" si="44"/>
        <v>35</v>
      </c>
      <c r="CH7" s="211">
        <f t="shared" si="44"/>
        <v>0</v>
      </c>
      <c r="CI7" s="211">
        <f t="shared" si="44"/>
        <v>175</v>
      </c>
      <c r="CJ7" s="211">
        <f t="shared" si="44"/>
        <v>0</v>
      </c>
      <c r="CK7" s="211">
        <f t="shared" si="44"/>
        <v>7</v>
      </c>
      <c r="CL7" s="211">
        <f t="shared" si="44"/>
        <v>0</v>
      </c>
      <c r="CM7" s="211">
        <f t="shared" si="44"/>
        <v>35</v>
      </c>
      <c r="CN7" s="211">
        <f t="shared" si="44"/>
        <v>0</v>
      </c>
      <c r="CO7" s="427">
        <v>4</v>
      </c>
      <c r="CP7" s="211">
        <f t="shared" ref="CP7:CY7" si="45">CP6+AX7</f>
        <v>7</v>
      </c>
      <c r="CQ7" s="211">
        <f t="shared" si="45"/>
        <v>0</v>
      </c>
      <c r="CR7" s="211">
        <f t="shared" si="45"/>
        <v>35</v>
      </c>
      <c r="CS7" s="211">
        <f t="shared" si="45"/>
        <v>0</v>
      </c>
      <c r="CT7" s="211">
        <f t="shared" si="45"/>
        <v>175</v>
      </c>
      <c r="CU7" s="211">
        <f t="shared" si="45"/>
        <v>0</v>
      </c>
      <c r="CV7" s="211">
        <f t="shared" si="45"/>
        <v>7</v>
      </c>
      <c r="CW7" s="211">
        <f t="shared" si="45"/>
        <v>0</v>
      </c>
      <c r="CX7" s="211">
        <f t="shared" si="45"/>
        <v>35</v>
      </c>
      <c r="CY7" s="211">
        <f t="shared" si="45"/>
        <v>0</v>
      </c>
      <c r="CZ7" s="421">
        <v>4</v>
      </c>
      <c r="DA7" s="24">
        <v>400</v>
      </c>
      <c r="DB7" s="211">
        <f t="shared" si="13"/>
        <v>1000</v>
      </c>
      <c r="DC7" s="211"/>
      <c r="DD7" s="211">
        <f t="shared" si="14"/>
        <v>0</v>
      </c>
      <c r="DE7" s="211"/>
      <c r="DF7" s="211"/>
      <c r="DG7" s="211"/>
      <c r="DH7" s="265">
        <v>4</v>
      </c>
      <c r="DI7" s="230">
        <v>1250</v>
      </c>
      <c r="DJ7" s="211">
        <v>2500</v>
      </c>
      <c r="DK7" s="232">
        <v>5000</v>
      </c>
      <c r="DL7" s="265">
        <v>4</v>
      </c>
      <c r="DM7" s="230">
        <v>2500</v>
      </c>
      <c r="DN7" s="211">
        <v>3750</v>
      </c>
      <c r="DO7" s="232">
        <v>7500</v>
      </c>
      <c r="DP7" s="266">
        <v>4</v>
      </c>
      <c r="DQ7" s="211">
        <v>5000</v>
      </c>
      <c r="DR7" s="232">
        <v>10000</v>
      </c>
      <c r="DS7" s="265">
        <v>4</v>
      </c>
      <c r="DT7" s="211">
        <f t="shared" ref="DT7:DV7" si="46">DI7+DT6</f>
        <v>3500</v>
      </c>
      <c r="DU7" s="211">
        <f t="shared" si="46"/>
        <v>7000</v>
      </c>
      <c r="DV7" s="211">
        <f t="shared" si="46"/>
        <v>14000</v>
      </c>
      <c r="DW7" s="211">
        <f t="shared" ref="DW7:DY7" si="47">DM7+DW6</f>
        <v>7000</v>
      </c>
      <c r="DX7" s="211">
        <f t="shared" si="47"/>
        <v>10500</v>
      </c>
      <c r="DY7" s="211">
        <f t="shared" si="47"/>
        <v>21000</v>
      </c>
      <c r="DZ7" s="211">
        <v>0</v>
      </c>
      <c r="EA7" s="211">
        <f t="shared" ref="EA7:EB7" si="48">DQ7+EA6</f>
        <v>14000</v>
      </c>
      <c r="EB7" s="211">
        <f t="shared" si="48"/>
        <v>28000</v>
      </c>
      <c r="EC7" s="428">
        <v>4</v>
      </c>
      <c r="ED7" s="211"/>
      <c r="EE7" s="211">
        <f t="shared" si="18"/>
        <v>0</v>
      </c>
      <c r="EF7" s="211"/>
      <c r="EG7" s="211">
        <v>2</v>
      </c>
      <c r="EH7" s="211">
        <v>1</v>
      </c>
      <c r="EI7" s="211">
        <v>5</v>
      </c>
      <c r="EJ7" s="211">
        <f t="shared" si="19"/>
        <v>5</v>
      </c>
      <c r="EK7" s="211"/>
      <c r="EL7" s="211"/>
      <c r="EM7" s="211"/>
      <c r="EN7" s="211"/>
    </row>
    <row r="8" spans="1:144" ht="15.75" customHeight="1" x14ac:dyDescent="0.2">
      <c r="A8" s="421">
        <v>5</v>
      </c>
      <c r="B8" s="211">
        <v>25</v>
      </c>
      <c r="C8" s="211">
        <f t="shared" si="4"/>
        <v>75</v>
      </c>
      <c r="D8" s="421">
        <v>5</v>
      </c>
      <c r="E8" s="211">
        <v>112</v>
      </c>
      <c r="F8" s="211">
        <f t="shared" si="5"/>
        <v>259</v>
      </c>
      <c r="G8" s="436" t="s">
        <v>330</v>
      </c>
      <c r="H8" s="129">
        <v>3840</v>
      </c>
      <c r="I8" s="129">
        <f t="shared" si="6"/>
        <v>8160</v>
      </c>
      <c r="J8" s="129">
        <v>500</v>
      </c>
      <c r="K8" s="129">
        <f t="shared" si="7"/>
        <v>804</v>
      </c>
      <c r="L8" s="438" t="s">
        <v>331</v>
      </c>
      <c r="M8" s="173">
        <v>40000</v>
      </c>
      <c r="N8" s="173">
        <f t="shared" si="20"/>
        <v>85000</v>
      </c>
      <c r="O8" s="173">
        <v>1000</v>
      </c>
      <c r="P8" s="173">
        <f t="shared" si="21"/>
        <v>2800</v>
      </c>
      <c r="Q8" s="8"/>
      <c r="R8" s="439"/>
      <c r="S8" s="426">
        <v>5</v>
      </c>
      <c r="T8" s="431">
        <v>2</v>
      </c>
      <c r="U8" s="432">
        <v>0</v>
      </c>
      <c r="V8" s="211">
        <v>8</v>
      </c>
      <c r="W8" s="211">
        <v>0</v>
      </c>
      <c r="X8" s="432">
        <v>40</v>
      </c>
      <c r="Y8" s="432">
        <v>0</v>
      </c>
      <c r="Z8" s="432">
        <v>2</v>
      </c>
      <c r="AA8" s="432">
        <v>0</v>
      </c>
      <c r="AB8" s="437">
        <v>10</v>
      </c>
      <c r="AC8" s="437">
        <v>0</v>
      </c>
      <c r="AD8" s="230">
        <v>3</v>
      </c>
      <c r="AE8" s="211">
        <v>0</v>
      </c>
      <c r="AF8" s="432">
        <v>12</v>
      </c>
      <c r="AG8" s="432">
        <v>0</v>
      </c>
      <c r="AH8" s="211">
        <v>60</v>
      </c>
      <c r="AI8" s="211">
        <v>0</v>
      </c>
      <c r="AJ8" s="69">
        <v>3</v>
      </c>
      <c r="AK8" s="69">
        <v>0</v>
      </c>
      <c r="AL8" s="435">
        <f t="shared" ref="AL8:AM8" si="49">AJ8*5</f>
        <v>15</v>
      </c>
      <c r="AM8" s="435">
        <f t="shared" si="49"/>
        <v>0</v>
      </c>
      <c r="AN8" s="211">
        <v>3</v>
      </c>
      <c r="AO8" s="211">
        <v>0</v>
      </c>
      <c r="AP8" s="432">
        <v>15</v>
      </c>
      <c r="AQ8" s="432">
        <v>0</v>
      </c>
      <c r="AR8" s="432">
        <v>75</v>
      </c>
      <c r="AS8" s="432">
        <v>0</v>
      </c>
      <c r="AT8" s="432">
        <v>3</v>
      </c>
      <c r="AU8" s="432">
        <v>0</v>
      </c>
      <c r="AV8" s="432">
        <v>15</v>
      </c>
      <c r="AW8" s="433">
        <v>0</v>
      </c>
      <c r="AX8" s="230">
        <v>3</v>
      </c>
      <c r="AY8" s="211">
        <v>0</v>
      </c>
      <c r="AZ8" s="432">
        <v>15</v>
      </c>
      <c r="BA8" s="432">
        <v>0</v>
      </c>
      <c r="BB8" s="432">
        <v>75</v>
      </c>
      <c r="BC8" s="432">
        <v>0</v>
      </c>
      <c r="BD8" s="432">
        <v>3</v>
      </c>
      <c r="BE8" s="432">
        <v>0</v>
      </c>
      <c r="BF8" s="432">
        <f t="shared" ref="BF8:BG8" si="50">BD8*5</f>
        <v>15</v>
      </c>
      <c r="BG8" s="433">
        <f t="shared" si="50"/>
        <v>0</v>
      </c>
      <c r="BH8" s="427">
        <v>5</v>
      </c>
      <c r="BI8" s="211">
        <f t="shared" ref="BI8:BR8" si="51">BI7+T8</f>
        <v>9</v>
      </c>
      <c r="BJ8" s="211">
        <f t="shared" si="51"/>
        <v>0</v>
      </c>
      <c r="BK8" s="211">
        <f t="shared" si="51"/>
        <v>36</v>
      </c>
      <c r="BL8" s="211">
        <f t="shared" si="51"/>
        <v>0</v>
      </c>
      <c r="BM8" s="211">
        <f t="shared" si="51"/>
        <v>180</v>
      </c>
      <c r="BN8" s="211">
        <f t="shared" si="51"/>
        <v>0</v>
      </c>
      <c r="BO8" s="211">
        <f t="shared" si="51"/>
        <v>9</v>
      </c>
      <c r="BP8" s="211">
        <f t="shared" si="51"/>
        <v>0</v>
      </c>
      <c r="BQ8" s="211">
        <f t="shared" si="51"/>
        <v>45</v>
      </c>
      <c r="BR8" s="211">
        <f t="shared" si="51"/>
        <v>0</v>
      </c>
      <c r="BS8" s="427">
        <v>5</v>
      </c>
      <c r="BT8" s="211">
        <f t="shared" ref="BT8:CC8" si="52">BT7+AD8</f>
        <v>10</v>
      </c>
      <c r="BU8" s="211">
        <f t="shared" si="52"/>
        <v>0</v>
      </c>
      <c r="BV8" s="211">
        <f t="shared" si="52"/>
        <v>49</v>
      </c>
      <c r="BW8" s="211">
        <f t="shared" si="52"/>
        <v>0</v>
      </c>
      <c r="BX8" s="211">
        <f t="shared" si="52"/>
        <v>245</v>
      </c>
      <c r="BY8" s="211">
        <f t="shared" si="52"/>
        <v>0</v>
      </c>
      <c r="BZ8" s="211">
        <f t="shared" si="52"/>
        <v>10</v>
      </c>
      <c r="CA8" s="211">
        <f t="shared" si="52"/>
        <v>0</v>
      </c>
      <c r="CB8" s="211">
        <f t="shared" si="52"/>
        <v>50</v>
      </c>
      <c r="CC8" s="211">
        <f t="shared" si="52"/>
        <v>0</v>
      </c>
      <c r="CD8" s="427">
        <v>5</v>
      </c>
      <c r="CE8" s="211">
        <f t="shared" ref="CE8:CN8" si="53">CE7+AN8</f>
        <v>10</v>
      </c>
      <c r="CF8" s="211">
        <f t="shared" si="53"/>
        <v>0</v>
      </c>
      <c r="CG8" s="211">
        <f t="shared" si="53"/>
        <v>50</v>
      </c>
      <c r="CH8" s="211">
        <f t="shared" si="53"/>
        <v>0</v>
      </c>
      <c r="CI8" s="211">
        <f t="shared" si="53"/>
        <v>250</v>
      </c>
      <c r="CJ8" s="211">
        <f t="shared" si="53"/>
        <v>0</v>
      </c>
      <c r="CK8" s="211">
        <f t="shared" si="53"/>
        <v>10</v>
      </c>
      <c r="CL8" s="211">
        <f t="shared" si="53"/>
        <v>0</v>
      </c>
      <c r="CM8" s="211">
        <f t="shared" si="53"/>
        <v>50</v>
      </c>
      <c r="CN8" s="211">
        <f t="shared" si="53"/>
        <v>0</v>
      </c>
      <c r="CO8" s="427">
        <v>5</v>
      </c>
      <c r="CP8" s="211">
        <f t="shared" ref="CP8:CY8" si="54">CP7+AX8</f>
        <v>10</v>
      </c>
      <c r="CQ8" s="211">
        <f t="shared" si="54"/>
        <v>0</v>
      </c>
      <c r="CR8" s="211">
        <f t="shared" si="54"/>
        <v>50</v>
      </c>
      <c r="CS8" s="211">
        <f t="shared" si="54"/>
        <v>0</v>
      </c>
      <c r="CT8" s="211">
        <f t="shared" si="54"/>
        <v>250</v>
      </c>
      <c r="CU8" s="211">
        <f t="shared" si="54"/>
        <v>0</v>
      </c>
      <c r="CV8" s="211">
        <f t="shared" si="54"/>
        <v>10</v>
      </c>
      <c r="CW8" s="211">
        <f t="shared" si="54"/>
        <v>0</v>
      </c>
      <c r="CX8" s="211">
        <f t="shared" si="54"/>
        <v>50</v>
      </c>
      <c r="CY8" s="211">
        <f t="shared" si="54"/>
        <v>0</v>
      </c>
      <c r="CZ8" s="421">
        <v>5</v>
      </c>
      <c r="DA8" s="24">
        <v>500</v>
      </c>
      <c r="DB8" s="211">
        <f t="shared" si="13"/>
        <v>1500</v>
      </c>
      <c r="DC8" s="211"/>
      <c r="DD8" s="211">
        <f t="shared" si="14"/>
        <v>0</v>
      </c>
      <c r="DE8" s="211"/>
      <c r="DF8" s="211"/>
      <c r="DG8" s="211"/>
      <c r="DH8" s="265">
        <v>5</v>
      </c>
      <c r="DI8" s="230">
        <v>1500</v>
      </c>
      <c r="DJ8" s="211">
        <v>3000</v>
      </c>
      <c r="DK8" s="232">
        <v>6000</v>
      </c>
      <c r="DL8" s="265">
        <v>5</v>
      </c>
      <c r="DM8" s="230">
        <v>3000</v>
      </c>
      <c r="DN8" s="211">
        <v>4500</v>
      </c>
      <c r="DO8" s="232">
        <v>9000</v>
      </c>
      <c r="DP8" s="266">
        <v>5</v>
      </c>
      <c r="DQ8" s="211">
        <v>6000</v>
      </c>
      <c r="DR8" s="232">
        <v>12000</v>
      </c>
      <c r="DS8" s="265">
        <v>5</v>
      </c>
      <c r="DT8" s="211">
        <f t="shared" ref="DT8:DV8" si="55">DI8+DT7</f>
        <v>5000</v>
      </c>
      <c r="DU8" s="211">
        <f t="shared" si="55"/>
        <v>10000</v>
      </c>
      <c r="DV8" s="211">
        <f t="shared" si="55"/>
        <v>20000</v>
      </c>
      <c r="DW8" s="211">
        <f t="shared" ref="DW8:DY8" si="56">DM8+DW7</f>
        <v>10000</v>
      </c>
      <c r="DX8" s="211">
        <f t="shared" si="56"/>
        <v>15000</v>
      </c>
      <c r="DY8" s="211">
        <f t="shared" si="56"/>
        <v>30000</v>
      </c>
      <c r="DZ8" s="211">
        <v>0</v>
      </c>
      <c r="EA8" s="211">
        <f t="shared" ref="EA8:EB8" si="57">DQ8+EA7</f>
        <v>20000</v>
      </c>
      <c r="EB8" s="211">
        <f t="shared" si="57"/>
        <v>40000</v>
      </c>
      <c r="EC8" s="428">
        <v>5</v>
      </c>
      <c r="ED8" s="211"/>
      <c r="EE8" s="211">
        <f t="shared" si="18"/>
        <v>0</v>
      </c>
      <c r="EF8" s="211"/>
      <c r="EG8" s="211">
        <v>2</v>
      </c>
      <c r="EH8" s="211">
        <v>2</v>
      </c>
      <c r="EI8" s="211">
        <v>6</v>
      </c>
      <c r="EJ8" s="211">
        <f t="shared" si="19"/>
        <v>6</v>
      </c>
      <c r="EK8" s="211"/>
      <c r="EL8" s="211"/>
      <c r="EM8" s="211"/>
      <c r="EN8" s="211"/>
    </row>
    <row r="9" spans="1:144" ht="15.75" customHeight="1" x14ac:dyDescent="0.2">
      <c r="A9" s="421">
        <v>6</v>
      </c>
      <c r="B9" s="211">
        <v>30</v>
      </c>
      <c r="C9" s="211">
        <f t="shared" si="4"/>
        <v>105</v>
      </c>
      <c r="D9" s="421">
        <v>6</v>
      </c>
      <c r="E9" s="211">
        <v>156</v>
      </c>
      <c r="F9" s="211">
        <f t="shared" si="5"/>
        <v>415</v>
      </c>
      <c r="G9" s="440" t="s">
        <v>332</v>
      </c>
      <c r="H9" s="129">
        <v>4560</v>
      </c>
      <c r="I9" s="129">
        <f t="shared" si="6"/>
        <v>12720</v>
      </c>
      <c r="J9" s="129">
        <v>1000</v>
      </c>
      <c r="K9" s="129">
        <f t="shared" si="7"/>
        <v>1804</v>
      </c>
      <c r="L9" s="438" t="s">
        <v>333</v>
      </c>
      <c r="M9" s="173">
        <v>40000</v>
      </c>
      <c r="N9" s="173">
        <f t="shared" si="20"/>
        <v>125000</v>
      </c>
      <c r="O9" s="173">
        <v>1000</v>
      </c>
      <c r="P9" s="173">
        <f t="shared" si="21"/>
        <v>3800</v>
      </c>
      <c r="Q9" s="8"/>
      <c r="R9" s="439"/>
      <c r="S9" s="426">
        <v>6</v>
      </c>
      <c r="T9" s="431">
        <v>3</v>
      </c>
      <c r="U9" s="432">
        <v>0</v>
      </c>
      <c r="V9" s="211">
        <v>12</v>
      </c>
      <c r="W9" s="211">
        <v>0</v>
      </c>
      <c r="X9" s="432">
        <v>60</v>
      </c>
      <c r="Y9" s="432">
        <v>0</v>
      </c>
      <c r="Z9" s="432">
        <v>2</v>
      </c>
      <c r="AA9" s="432">
        <v>0</v>
      </c>
      <c r="AB9" s="437">
        <v>10</v>
      </c>
      <c r="AC9" s="437">
        <v>0</v>
      </c>
      <c r="AD9" s="230">
        <v>4</v>
      </c>
      <c r="AE9" s="211">
        <v>0</v>
      </c>
      <c r="AF9" s="432">
        <v>16</v>
      </c>
      <c r="AG9" s="432">
        <v>0</v>
      </c>
      <c r="AH9" s="211">
        <v>80</v>
      </c>
      <c r="AI9" s="211">
        <v>0</v>
      </c>
      <c r="AJ9" s="69">
        <v>3</v>
      </c>
      <c r="AK9" s="69">
        <v>0</v>
      </c>
      <c r="AL9" s="435">
        <f t="shared" ref="AL9:AM9" si="58">AJ9*5</f>
        <v>15</v>
      </c>
      <c r="AM9" s="435">
        <f t="shared" si="58"/>
        <v>0</v>
      </c>
      <c r="AN9" s="211">
        <v>4</v>
      </c>
      <c r="AO9" s="211">
        <v>0</v>
      </c>
      <c r="AP9" s="432">
        <v>20</v>
      </c>
      <c r="AQ9" s="432">
        <v>0</v>
      </c>
      <c r="AR9" s="432">
        <v>100</v>
      </c>
      <c r="AS9" s="432">
        <v>0</v>
      </c>
      <c r="AT9" s="432">
        <v>4</v>
      </c>
      <c r="AU9" s="432">
        <v>0</v>
      </c>
      <c r="AV9" s="432">
        <v>20</v>
      </c>
      <c r="AW9" s="433">
        <v>0</v>
      </c>
      <c r="AX9" s="230">
        <v>4</v>
      </c>
      <c r="AY9" s="211">
        <v>0</v>
      </c>
      <c r="AZ9" s="432">
        <v>20</v>
      </c>
      <c r="BA9" s="432">
        <v>0</v>
      </c>
      <c r="BB9" s="432">
        <v>100</v>
      </c>
      <c r="BC9" s="432">
        <v>0</v>
      </c>
      <c r="BD9" s="432">
        <v>4</v>
      </c>
      <c r="BE9" s="432">
        <v>0</v>
      </c>
      <c r="BF9" s="432">
        <f t="shared" ref="BF9:BG9" si="59">BD9*5</f>
        <v>20</v>
      </c>
      <c r="BG9" s="433">
        <f t="shared" si="59"/>
        <v>0</v>
      </c>
      <c r="BH9" s="427">
        <v>6</v>
      </c>
      <c r="BI9" s="211">
        <f t="shared" ref="BI9:BR9" si="60">BI8+T9</f>
        <v>12</v>
      </c>
      <c r="BJ9" s="211">
        <f t="shared" si="60"/>
        <v>0</v>
      </c>
      <c r="BK9" s="211">
        <f t="shared" si="60"/>
        <v>48</v>
      </c>
      <c r="BL9" s="211">
        <f t="shared" si="60"/>
        <v>0</v>
      </c>
      <c r="BM9" s="211">
        <f t="shared" si="60"/>
        <v>240</v>
      </c>
      <c r="BN9" s="211">
        <f t="shared" si="60"/>
        <v>0</v>
      </c>
      <c r="BO9" s="211">
        <f t="shared" si="60"/>
        <v>11</v>
      </c>
      <c r="BP9" s="211">
        <f t="shared" si="60"/>
        <v>0</v>
      </c>
      <c r="BQ9" s="211">
        <f t="shared" si="60"/>
        <v>55</v>
      </c>
      <c r="BR9" s="211">
        <f t="shared" si="60"/>
        <v>0</v>
      </c>
      <c r="BS9" s="427">
        <v>6</v>
      </c>
      <c r="BT9" s="211">
        <f t="shared" ref="BT9:CC9" si="61">BT8+AD9</f>
        <v>14</v>
      </c>
      <c r="BU9" s="211">
        <f t="shared" si="61"/>
        <v>0</v>
      </c>
      <c r="BV9" s="211">
        <f t="shared" si="61"/>
        <v>65</v>
      </c>
      <c r="BW9" s="211">
        <f t="shared" si="61"/>
        <v>0</v>
      </c>
      <c r="BX9" s="211">
        <f t="shared" si="61"/>
        <v>325</v>
      </c>
      <c r="BY9" s="211">
        <f t="shared" si="61"/>
        <v>0</v>
      </c>
      <c r="BZ9" s="211">
        <f t="shared" si="61"/>
        <v>13</v>
      </c>
      <c r="CA9" s="211">
        <f t="shared" si="61"/>
        <v>0</v>
      </c>
      <c r="CB9" s="211">
        <f t="shared" si="61"/>
        <v>65</v>
      </c>
      <c r="CC9" s="211">
        <f t="shared" si="61"/>
        <v>0</v>
      </c>
      <c r="CD9" s="427">
        <v>6</v>
      </c>
      <c r="CE9" s="211">
        <f t="shared" ref="CE9:CN9" si="62">CE8+AN9</f>
        <v>14</v>
      </c>
      <c r="CF9" s="211">
        <f t="shared" si="62"/>
        <v>0</v>
      </c>
      <c r="CG9" s="211">
        <f t="shared" si="62"/>
        <v>70</v>
      </c>
      <c r="CH9" s="211">
        <f t="shared" si="62"/>
        <v>0</v>
      </c>
      <c r="CI9" s="211">
        <f t="shared" si="62"/>
        <v>350</v>
      </c>
      <c r="CJ9" s="211">
        <f t="shared" si="62"/>
        <v>0</v>
      </c>
      <c r="CK9" s="211">
        <f t="shared" si="62"/>
        <v>14</v>
      </c>
      <c r="CL9" s="211">
        <f t="shared" si="62"/>
        <v>0</v>
      </c>
      <c r="CM9" s="211">
        <f t="shared" si="62"/>
        <v>70</v>
      </c>
      <c r="CN9" s="211">
        <f t="shared" si="62"/>
        <v>0</v>
      </c>
      <c r="CO9" s="427">
        <v>6</v>
      </c>
      <c r="CP9" s="211">
        <f t="shared" ref="CP9:CY9" si="63">CP8+AX9</f>
        <v>14</v>
      </c>
      <c r="CQ9" s="211">
        <f t="shared" si="63"/>
        <v>0</v>
      </c>
      <c r="CR9" s="211">
        <f t="shared" si="63"/>
        <v>70</v>
      </c>
      <c r="CS9" s="211">
        <f t="shared" si="63"/>
        <v>0</v>
      </c>
      <c r="CT9" s="211">
        <f t="shared" si="63"/>
        <v>350</v>
      </c>
      <c r="CU9" s="211">
        <f t="shared" si="63"/>
        <v>0</v>
      </c>
      <c r="CV9" s="211">
        <f t="shared" si="63"/>
        <v>14</v>
      </c>
      <c r="CW9" s="211">
        <f t="shared" si="63"/>
        <v>0</v>
      </c>
      <c r="CX9" s="211">
        <f t="shared" si="63"/>
        <v>70</v>
      </c>
      <c r="CY9" s="211">
        <f t="shared" si="63"/>
        <v>0</v>
      </c>
      <c r="CZ9" s="421">
        <v>6</v>
      </c>
      <c r="DA9" s="24">
        <v>600</v>
      </c>
      <c r="DB9" s="211">
        <f t="shared" si="13"/>
        <v>2100</v>
      </c>
      <c r="DC9" s="211"/>
      <c r="DD9" s="211">
        <f t="shared" si="14"/>
        <v>0</v>
      </c>
      <c r="DE9" s="211"/>
      <c r="DF9" s="211"/>
      <c r="DG9" s="211"/>
      <c r="DH9" s="265">
        <v>6</v>
      </c>
      <c r="DI9" s="230">
        <v>2000</v>
      </c>
      <c r="DJ9" s="211">
        <v>4000</v>
      </c>
      <c r="DK9" s="232">
        <v>8000</v>
      </c>
      <c r="DL9" s="265">
        <v>6</v>
      </c>
      <c r="DM9" s="230">
        <v>4000</v>
      </c>
      <c r="DN9" s="211">
        <v>6000</v>
      </c>
      <c r="DO9" s="232">
        <v>12000</v>
      </c>
      <c r="DP9" s="266">
        <v>6</v>
      </c>
      <c r="DQ9" s="211">
        <v>8000</v>
      </c>
      <c r="DR9" s="232">
        <v>16000</v>
      </c>
      <c r="DS9" s="265">
        <v>6</v>
      </c>
      <c r="DT9" s="211">
        <f t="shared" ref="DT9:DV9" si="64">DI9+DT8</f>
        <v>7000</v>
      </c>
      <c r="DU9" s="211">
        <f t="shared" si="64"/>
        <v>14000</v>
      </c>
      <c r="DV9" s="211">
        <f t="shared" si="64"/>
        <v>28000</v>
      </c>
      <c r="DW9" s="211">
        <f t="shared" ref="DW9:DY9" si="65">DM9+DW8</f>
        <v>14000</v>
      </c>
      <c r="DX9" s="211">
        <f t="shared" si="65"/>
        <v>21000</v>
      </c>
      <c r="DY9" s="211">
        <f t="shared" si="65"/>
        <v>42000</v>
      </c>
      <c r="DZ9" s="211">
        <v>0</v>
      </c>
      <c r="EA9" s="211">
        <f t="shared" ref="EA9:EB9" si="66">DQ9+EA8</f>
        <v>28000</v>
      </c>
      <c r="EB9" s="211">
        <f t="shared" si="66"/>
        <v>56000</v>
      </c>
      <c r="EC9" s="428">
        <v>6</v>
      </c>
      <c r="ED9" s="211"/>
      <c r="EE9" s="211">
        <f t="shared" si="18"/>
        <v>0</v>
      </c>
      <c r="EF9" s="211"/>
      <c r="EG9" s="211">
        <v>2</v>
      </c>
      <c r="EH9" s="211">
        <v>3</v>
      </c>
      <c r="EI9" s="211">
        <v>7</v>
      </c>
      <c r="EJ9" s="211">
        <f t="shared" si="19"/>
        <v>7</v>
      </c>
      <c r="EK9" s="211"/>
      <c r="EL9" s="211"/>
      <c r="EM9" s="211"/>
      <c r="EN9" s="211"/>
    </row>
    <row r="10" spans="1:144" ht="15.75" customHeight="1" x14ac:dyDescent="0.2">
      <c r="A10" s="421">
        <v>7</v>
      </c>
      <c r="B10" s="211">
        <v>35</v>
      </c>
      <c r="C10" s="211">
        <f t="shared" si="4"/>
        <v>140</v>
      </c>
      <c r="D10" s="421">
        <v>7</v>
      </c>
      <c r="E10" s="211">
        <v>208</v>
      </c>
      <c r="F10" s="211">
        <f t="shared" si="5"/>
        <v>623</v>
      </c>
      <c r="G10" s="440" t="s">
        <v>334</v>
      </c>
      <c r="H10" s="122">
        <v>9200</v>
      </c>
      <c r="I10" s="122">
        <f t="shared" si="6"/>
        <v>21920</v>
      </c>
      <c r="J10" s="122">
        <v>1200</v>
      </c>
      <c r="K10" s="122">
        <f t="shared" si="7"/>
        <v>3004</v>
      </c>
      <c r="L10" s="438" t="s">
        <v>335</v>
      </c>
      <c r="M10" s="173">
        <v>40000</v>
      </c>
      <c r="N10" s="173">
        <f t="shared" si="20"/>
        <v>165000</v>
      </c>
      <c r="O10" s="173">
        <v>1000</v>
      </c>
      <c r="P10" s="173">
        <f t="shared" si="21"/>
        <v>4800</v>
      </c>
      <c r="Q10" s="8"/>
      <c r="R10" s="439"/>
      <c r="S10" s="426">
        <v>7</v>
      </c>
      <c r="T10" s="431">
        <v>4</v>
      </c>
      <c r="U10" s="432">
        <v>0</v>
      </c>
      <c r="V10" s="211">
        <v>16</v>
      </c>
      <c r="W10" s="211">
        <v>0</v>
      </c>
      <c r="X10" s="432">
        <v>80</v>
      </c>
      <c r="Y10" s="432">
        <v>0</v>
      </c>
      <c r="Z10" s="432">
        <v>3</v>
      </c>
      <c r="AA10" s="432">
        <v>0</v>
      </c>
      <c r="AB10" s="437">
        <v>15</v>
      </c>
      <c r="AC10" s="437">
        <v>0</v>
      </c>
      <c r="AD10" s="230">
        <v>5</v>
      </c>
      <c r="AE10" s="211">
        <v>0</v>
      </c>
      <c r="AF10" s="432">
        <v>16</v>
      </c>
      <c r="AG10" s="432">
        <v>0</v>
      </c>
      <c r="AH10" s="211">
        <v>80</v>
      </c>
      <c r="AI10" s="211">
        <v>0</v>
      </c>
      <c r="AJ10" s="69">
        <v>3</v>
      </c>
      <c r="AK10" s="69">
        <v>0</v>
      </c>
      <c r="AL10" s="435">
        <f t="shared" ref="AL10:AM10" si="67">AJ10*5</f>
        <v>15</v>
      </c>
      <c r="AM10" s="435">
        <f t="shared" si="67"/>
        <v>0</v>
      </c>
      <c r="AN10" s="211">
        <v>5</v>
      </c>
      <c r="AO10" s="211">
        <v>0</v>
      </c>
      <c r="AP10" s="432">
        <v>25</v>
      </c>
      <c r="AQ10" s="432">
        <v>0</v>
      </c>
      <c r="AR10" s="432">
        <v>125</v>
      </c>
      <c r="AS10" s="432">
        <v>0</v>
      </c>
      <c r="AT10" s="432">
        <v>5</v>
      </c>
      <c r="AU10" s="432">
        <v>0</v>
      </c>
      <c r="AV10" s="432">
        <v>25</v>
      </c>
      <c r="AW10" s="433">
        <v>0</v>
      </c>
      <c r="AX10" s="230">
        <v>5</v>
      </c>
      <c r="AY10" s="211">
        <v>0</v>
      </c>
      <c r="AZ10" s="432">
        <v>25</v>
      </c>
      <c r="BA10" s="432">
        <v>0</v>
      </c>
      <c r="BB10" s="432">
        <v>125</v>
      </c>
      <c r="BC10" s="432">
        <v>0</v>
      </c>
      <c r="BD10" s="432">
        <v>5</v>
      </c>
      <c r="BE10" s="432">
        <v>0</v>
      </c>
      <c r="BF10" s="432">
        <f t="shared" ref="BF10:BG10" si="68">BD10*5</f>
        <v>25</v>
      </c>
      <c r="BG10" s="433">
        <f t="shared" si="68"/>
        <v>0</v>
      </c>
      <c r="BH10" s="427">
        <v>7</v>
      </c>
      <c r="BI10" s="211">
        <f t="shared" ref="BI10:BR10" si="69">BI9+T10</f>
        <v>16</v>
      </c>
      <c r="BJ10" s="211">
        <f t="shared" si="69"/>
        <v>0</v>
      </c>
      <c r="BK10" s="211">
        <f t="shared" si="69"/>
        <v>64</v>
      </c>
      <c r="BL10" s="211">
        <f t="shared" si="69"/>
        <v>0</v>
      </c>
      <c r="BM10" s="211">
        <f t="shared" si="69"/>
        <v>320</v>
      </c>
      <c r="BN10" s="211">
        <f t="shared" si="69"/>
        <v>0</v>
      </c>
      <c r="BO10" s="211">
        <f t="shared" si="69"/>
        <v>14</v>
      </c>
      <c r="BP10" s="211">
        <f t="shared" si="69"/>
        <v>0</v>
      </c>
      <c r="BQ10" s="211">
        <f t="shared" si="69"/>
        <v>70</v>
      </c>
      <c r="BR10" s="211">
        <f t="shared" si="69"/>
        <v>0</v>
      </c>
      <c r="BS10" s="427">
        <v>7</v>
      </c>
      <c r="BT10" s="211">
        <f t="shared" ref="BT10:CC10" si="70">BT9+AD10</f>
        <v>19</v>
      </c>
      <c r="BU10" s="211">
        <f t="shared" si="70"/>
        <v>0</v>
      </c>
      <c r="BV10" s="211">
        <f t="shared" si="70"/>
        <v>81</v>
      </c>
      <c r="BW10" s="211">
        <f t="shared" si="70"/>
        <v>0</v>
      </c>
      <c r="BX10" s="211">
        <f t="shared" si="70"/>
        <v>405</v>
      </c>
      <c r="BY10" s="211">
        <f t="shared" si="70"/>
        <v>0</v>
      </c>
      <c r="BZ10" s="211">
        <f t="shared" si="70"/>
        <v>16</v>
      </c>
      <c r="CA10" s="211">
        <f t="shared" si="70"/>
        <v>0</v>
      </c>
      <c r="CB10" s="211">
        <f t="shared" si="70"/>
        <v>80</v>
      </c>
      <c r="CC10" s="211">
        <f t="shared" si="70"/>
        <v>0</v>
      </c>
      <c r="CD10" s="427">
        <v>7</v>
      </c>
      <c r="CE10" s="211">
        <f t="shared" ref="CE10:CN10" si="71">CE9+AN10</f>
        <v>19</v>
      </c>
      <c r="CF10" s="211">
        <f t="shared" si="71"/>
        <v>0</v>
      </c>
      <c r="CG10" s="211">
        <f t="shared" si="71"/>
        <v>95</v>
      </c>
      <c r="CH10" s="211">
        <f t="shared" si="71"/>
        <v>0</v>
      </c>
      <c r="CI10" s="211">
        <f t="shared" si="71"/>
        <v>475</v>
      </c>
      <c r="CJ10" s="211">
        <f t="shared" si="71"/>
        <v>0</v>
      </c>
      <c r="CK10" s="211">
        <f t="shared" si="71"/>
        <v>19</v>
      </c>
      <c r="CL10" s="211">
        <f t="shared" si="71"/>
        <v>0</v>
      </c>
      <c r="CM10" s="211">
        <f t="shared" si="71"/>
        <v>95</v>
      </c>
      <c r="CN10" s="211">
        <f t="shared" si="71"/>
        <v>0</v>
      </c>
      <c r="CO10" s="427">
        <v>7</v>
      </c>
      <c r="CP10" s="211">
        <f t="shared" ref="CP10:CY10" si="72">CP9+AX10</f>
        <v>19</v>
      </c>
      <c r="CQ10" s="211">
        <f t="shared" si="72"/>
        <v>0</v>
      </c>
      <c r="CR10" s="211">
        <f t="shared" si="72"/>
        <v>95</v>
      </c>
      <c r="CS10" s="211">
        <f t="shared" si="72"/>
        <v>0</v>
      </c>
      <c r="CT10" s="211">
        <f t="shared" si="72"/>
        <v>475</v>
      </c>
      <c r="CU10" s="211">
        <f t="shared" si="72"/>
        <v>0</v>
      </c>
      <c r="CV10" s="211">
        <f t="shared" si="72"/>
        <v>19</v>
      </c>
      <c r="CW10" s="211">
        <f t="shared" si="72"/>
        <v>0</v>
      </c>
      <c r="CX10" s="211">
        <f t="shared" si="72"/>
        <v>95</v>
      </c>
      <c r="CY10" s="211">
        <f t="shared" si="72"/>
        <v>0</v>
      </c>
      <c r="CZ10" s="421">
        <v>7</v>
      </c>
      <c r="DA10" s="24">
        <v>700</v>
      </c>
      <c r="DB10" s="211">
        <f t="shared" si="13"/>
        <v>2800</v>
      </c>
      <c r="DC10" s="211"/>
      <c r="DD10" s="211">
        <f t="shared" si="14"/>
        <v>0</v>
      </c>
      <c r="DE10" s="211"/>
      <c r="DF10" s="211"/>
      <c r="DG10" s="211"/>
      <c r="DH10" s="265">
        <v>7</v>
      </c>
      <c r="DI10" s="230">
        <v>2500</v>
      </c>
      <c r="DJ10" s="211">
        <v>5000</v>
      </c>
      <c r="DK10" s="232">
        <v>10000</v>
      </c>
      <c r="DL10" s="265">
        <v>7</v>
      </c>
      <c r="DM10" s="230">
        <v>5000</v>
      </c>
      <c r="DN10" s="211">
        <v>7500</v>
      </c>
      <c r="DO10" s="232">
        <v>15000</v>
      </c>
      <c r="DP10" s="266">
        <v>7</v>
      </c>
      <c r="DQ10" s="211">
        <v>10000</v>
      </c>
      <c r="DR10" s="232">
        <v>20000</v>
      </c>
      <c r="DS10" s="265">
        <v>7</v>
      </c>
      <c r="DT10" s="211">
        <f t="shared" ref="DT10:DV10" si="73">DI10+DT9</f>
        <v>9500</v>
      </c>
      <c r="DU10" s="211">
        <f t="shared" si="73"/>
        <v>19000</v>
      </c>
      <c r="DV10" s="211">
        <f t="shared" si="73"/>
        <v>38000</v>
      </c>
      <c r="DW10" s="211">
        <f t="shared" ref="DW10:DY10" si="74">DM10+DW9</f>
        <v>19000</v>
      </c>
      <c r="DX10" s="211">
        <f t="shared" si="74"/>
        <v>28500</v>
      </c>
      <c r="DY10" s="211">
        <f t="shared" si="74"/>
        <v>57000</v>
      </c>
      <c r="DZ10" s="211">
        <v>0</v>
      </c>
      <c r="EA10" s="211">
        <f t="shared" ref="EA10:EB10" si="75">DQ10+EA9</f>
        <v>38000</v>
      </c>
      <c r="EB10" s="211">
        <f t="shared" si="75"/>
        <v>76000</v>
      </c>
      <c r="EC10" s="428">
        <v>7</v>
      </c>
      <c r="ED10" s="211"/>
      <c r="EE10" s="211">
        <f t="shared" si="18"/>
        <v>0</v>
      </c>
      <c r="EF10" s="211"/>
      <c r="EG10" s="211">
        <v>3</v>
      </c>
      <c r="EH10" s="211">
        <v>1</v>
      </c>
      <c r="EI10" s="211">
        <v>8</v>
      </c>
      <c r="EJ10" s="211">
        <f t="shared" si="19"/>
        <v>8</v>
      </c>
      <c r="EK10" s="211"/>
      <c r="EL10" s="211"/>
      <c r="EM10" s="211"/>
      <c r="EN10" s="211"/>
    </row>
    <row r="11" spans="1:144" ht="15.75" customHeight="1" x14ac:dyDescent="0.2">
      <c r="A11" s="421">
        <v>8</v>
      </c>
      <c r="B11" s="211">
        <v>40</v>
      </c>
      <c r="C11" s="211">
        <f t="shared" si="4"/>
        <v>180</v>
      </c>
      <c r="D11" s="421">
        <v>8</v>
      </c>
      <c r="E11" s="211">
        <v>267</v>
      </c>
      <c r="F11" s="211">
        <f t="shared" si="5"/>
        <v>890</v>
      </c>
      <c r="G11" s="440" t="s">
        <v>336</v>
      </c>
      <c r="H11" s="122">
        <v>11200</v>
      </c>
      <c r="I11" s="122">
        <f t="shared" si="6"/>
        <v>33120</v>
      </c>
      <c r="J11" s="122">
        <v>1400</v>
      </c>
      <c r="K11" s="122">
        <f t="shared" si="7"/>
        <v>4404</v>
      </c>
      <c r="L11" s="441" t="s">
        <v>337</v>
      </c>
      <c r="M11" s="173">
        <v>40000</v>
      </c>
      <c r="N11" s="173">
        <f t="shared" si="20"/>
        <v>205000</v>
      </c>
      <c r="O11" s="173">
        <v>1000</v>
      </c>
      <c r="P11" s="173">
        <f t="shared" si="21"/>
        <v>5800</v>
      </c>
      <c r="Q11" s="8"/>
      <c r="R11" s="439"/>
      <c r="S11" s="426">
        <v>8</v>
      </c>
      <c r="T11" s="431">
        <v>4</v>
      </c>
      <c r="U11" s="432">
        <v>0</v>
      </c>
      <c r="V11" s="211">
        <v>16</v>
      </c>
      <c r="W11" s="211">
        <v>0</v>
      </c>
      <c r="X11" s="432">
        <v>80</v>
      </c>
      <c r="Y11" s="432">
        <v>0</v>
      </c>
      <c r="Z11" s="432">
        <v>3</v>
      </c>
      <c r="AA11" s="432">
        <v>0</v>
      </c>
      <c r="AB11" s="437">
        <v>15</v>
      </c>
      <c r="AC11" s="437">
        <v>0</v>
      </c>
      <c r="AD11" s="230">
        <v>5</v>
      </c>
      <c r="AE11" s="211">
        <v>0</v>
      </c>
      <c r="AF11" s="432">
        <v>20</v>
      </c>
      <c r="AG11" s="432">
        <v>0</v>
      </c>
      <c r="AH11" s="211">
        <v>100</v>
      </c>
      <c r="AI11" s="211">
        <v>0</v>
      </c>
      <c r="AJ11" s="69">
        <v>4</v>
      </c>
      <c r="AK11" s="69">
        <v>0</v>
      </c>
      <c r="AL11" s="435">
        <f t="shared" ref="AL11:AM11" si="76">AJ11*5</f>
        <v>20</v>
      </c>
      <c r="AM11" s="435">
        <f t="shared" si="76"/>
        <v>0</v>
      </c>
      <c r="AN11" s="211">
        <v>5</v>
      </c>
      <c r="AO11" s="211">
        <v>0</v>
      </c>
      <c r="AP11" s="432">
        <v>25</v>
      </c>
      <c r="AQ11" s="432">
        <v>0</v>
      </c>
      <c r="AR11" s="432">
        <v>125</v>
      </c>
      <c r="AS11" s="432">
        <v>0</v>
      </c>
      <c r="AT11" s="432">
        <v>5</v>
      </c>
      <c r="AU11" s="432">
        <v>0</v>
      </c>
      <c r="AV11" s="432">
        <v>25</v>
      </c>
      <c r="AW11" s="433">
        <v>0</v>
      </c>
      <c r="AX11" s="230">
        <v>5</v>
      </c>
      <c r="AY11" s="211">
        <v>0</v>
      </c>
      <c r="AZ11" s="432">
        <v>25</v>
      </c>
      <c r="BA11" s="432">
        <v>0</v>
      </c>
      <c r="BB11" s="432">
        <v>125</v>
      </c>
      <c r="BC11" s="432">
        <v>0</v>
      </c>
      <c r="BD11" s="432">
        <v>5</v>
      </c>
      <c r="BE11" s="432">
        <v>0</v>
      </c>
      <c r="BF11" s="432">
        <f t="shared" ref="BF11:BG11" si="77">BD11*5</f>
        <v>25</v>
      </c>
      <c r="BG11" s="433">
        <f t="shared" si="77"/>
        <v>0</v>
      </c>
      <c r="BH11" s="427">
        <v>8</v>
      </c>
      <c r="BI11" s="211">
        <f t="shared" ref="BI11:BR11" si="78">BI10+T11</f>
        <v>20</v>
      </c>
      <c r="BJ11" s="211">
        <f t="shared" si="78"/>
        <v>0</v>
      </c>
      <c r="BK11" s="211">
        <f t="shared" si="78"/>
        <v>80</v>
      </c>
      <c r="BL11" s="211">
        <f t="shared" si="78"/>
        <v>0</v>
      </c>
      <c r="BM11" s="211">
        <f t="shared" si="78"/>
        <v>400</v>
      </c>
      <c r="BN11" s="211">
        <f t="shared" si="78"/>
        <v>0</v>
      </c>
      <c r="BO11" s="211">
        <f t="shared" si="78"/>
        <v>17</v>
      </c>
      <c r="BP11" s="211">
        <f t="shared" si="78"/>
        <v>0</v>
      </c>
      <c r="BQ11" s="211">
        <f t="shared" si="78"/>
        <v>85</v>
      </c>
      <c r="BR11" s="211">
        <f t="shared" si="78"/>
        <v>0</v>
      </c>
      <c r="BS11" s="427">
        <v>8</v>
      </c>
      <c r="BT11" s="211">
        <f t="shared" ref="BT11:CC11" si="79">BT10+AD11</f>
        <v>24</v>
      </c>
      <c r="BU11" s="211">
        <f t="shared" si="79"/>
        <v>0</v>
      </c>
      <c r="BV11" s="211">
        <f t="shared" si="79"/>
        <v>101</v>
      </c>
      <c r="BW11" s="211">
        <f t="shared" si="79"/>
        <v>0</v>
      </c>
      <c r="BX11" s="211">
        <f t="shared" si="79"/>
        <v>505</v>
      </c>
      <c r="BY11" s="211">
        <f t="shared" si="79"/>
        <v>0</v>
      </c>
      <c r="BZ11" s="211">
        <f t="shared" si="79"/>
        <v>20</v>
      </c>
      <c r="CA11" s="211">
        <f t="shared" si="79"/>
        <v>0</v>
      </c>
      <c r="CB11" s="211">
        <f t="shared" si="79"/>
        <v>100</v>
      </c>
      <c r="CC11" s="211">
        <f t="shared" si="79"/>
        <v>0</v>
      </c>
      <c r="CD11" s="427">
        <v>8</v>
      </c>
      <c r="CE11" s="211">
        <f t="shared" ref="CE11:CN11" si="80">CE10+AN11</f>
        <v>24</v>
      </c>
      <c r="CF11" s="211">
        <f t="shared" si="80"/>
        <v>0</v>
      </c>
      <c r="CG11" s="211">
        <f t="shared" si="80"/>
        <v>120</v>
      </c>
      <c r="CH11" s="211">
        <f t="shared" si="80"/>
        <v>0</v>
      </c>
      <c r="CI11" s="211">
        <f t="shared" si="80"/>
        <v>600</v>
      </c>
      <c r="CJ11" s="211">
        <f t="shared" si="80"/>
        <v>0</v>
      </c>
      <c r="CK11" s="211">
        <f t="shared" si="80"/>
        <v>24</v>
      </c>
      <c r="CL11" s="211">
        <f t="shared" si="80"/>
        <v>0</v>
      </c>
      <c r="CM11" s="211">
        <f t="shared" si="80"/>
        <v>120</v>
      </c>
      <c r="CN11" s="211">
        <f t="shared" si="80"/>
        <v>0</v>
      </c>
      <c r="CO11" s="427">
        <v>8</v>
      </c>
      <c r="CP11" s="211">
        <f t="shared" ref="CP11:CY11" si="81">CP10+AX11</f>
        <v>24</v>
      </c>
      <c r="CQ11" s="211">
        <f t="shared" si="81"/>
        <v>0</v>
      </c>
      <c r="CR11" s="211">
        <f t="shared" si="81"/>
        <v>120</v>
      </c>
      <c r="CS11" s="211">
        <f t="shared" si="81"/>
        <v>0</v>
      </c>
      <c r="CT11" s="211">
        <f t="shared" si="81"/>
        <v>600</v>
      </c>
      <c r="CU11" s="211">
        <f t="shared" si="81"/>
        <v>0</v>
      </c>
      <c r="CV11" s="211">
        <f t="shared" si="81"/>
        <v>24</v>
      </c>
      <c r="CW11" s="211">
        <f t="shared" si="81"/>
        <v>0</v>
      </c>
      <c r="CX11" s="211">
        <f t="shared" si="81"/>
        <v>120</v>
      </c>
      <c r="CY11" s="211">
        <f t="shared" si="81"/>
        <v>0</v>
      </c>
      <c r="CZ11" s="421">
        <v>8</v>
      </c>
      <c r="DA11" s="24">
        <v>800</v>
      </c>
      <c r="DB11" s="211">
        <f t="shared" si="13"/>
        <v>3600</v>
      </c>
      <c r="DC11" s="211"/>
      <c r="DD11" s="211">
        <f t="shared" si="14"/>
        <v>0</v>
      </c>
      <c r="DE11" s="211"/>
      <c r="DF11" s="211"/>
      <c r="DG11" s="211"/>
      <c r="DH11" s="265">
        <v>8</v>
      </c>
      <c r="DI11" s="230">
        <v>3000</v>
      </c>
      <c r="DJ11" s="211">
        <v>6000</v>
      </c>
      <c r="DK11" s="232">
        <v>12000</v>
      </c>
      <c r="DL11" s="265">
        <v>8</v>
      </c>
      <c r="DM11" s="230">
        <v>6000</v>
      </c>
      <c r="DN11" s="211">
        <v>9000</v>
      </c>
      <c r="DO11" s="232">
        <v>18000</v>
      </c>
      <c r="DP11" s="266">
        <v>8</v>
      </c>
      <c r="DQ11" s="211">
        <v>12000</v>
      </c>
      <c r="DR11" s="232">
        <v>24000</v>
      </c>
      <c r="DS11" s="265">
        <v>8</v>
      </c>
      <c r="DT11" s="211">
        <f t="shared" ref="DT11:DV11" si="82">DI11+DT10</f>
        <v>12500</v>
      </c>
      <c r="DU11" s="211">
        <f t="shared" si="82"/>
        <v>25000</v>
      </c>
      <c r="DV11" s="211">
        <f t="shared" si="82"/>
        <v>50000</v>
      </c>
      <c r="DW11" s="211">
        <f t="shared" ref="DW11:DY11" si="83">DM11+DW10</f>
        <v>25000</v>
      </c>
      <c r="DX11" s="211">
        <f t="shared" si="83"/>
        <v>37500</v>
      </c>
      <c r="DY11" s="211">
        <f t="shared" si="83"/>
        <v>75000</v>
      </c>
      <c r="DZ11" s="211">
        <v>0</v>
      </c>
      <c r="EA11" s="211">
        <f t="shared" ref="EA11:EB11" si="84">DQ11+EA10</f>
        <v>50000</v>
      </c>
      <c r="EB11" s="211">
        <f t="shared" si="84"/>
        <v>100000</v>
      </c>
      <c r="EC11" s="428">
        <v>8</v>
      </c>
      <c r="ED11" s="211"/>
      <c r="EE11" s="211">
        <f t="shared" si="18"/>
        <v>0</v>
      </c>
      <c r="EF11" s="211"/>
      <c r="EG11" s="211">
        <v>3</v>
      </c>
      <c r="EH11" s="211">
        <v>2</v>
      </c>
      <c r="EI11" s="211">
        <v>9</v>
      </c>
      <c r="EJ11" s="211">
        <f t="shared" si="19"/>
        <v>9</v>
      </c>
      <c r="EK11" s="211"/>
      <c r="EL11" s="211"/>
      <c r="EM11" s="211"/>
      <c r="EN11" s="211"/>
    </row>
    <row r="12" spans="1:144" ht="15.75" customHeight="1" x14ac:dyDescent="0.2">
      <c r="A12" s="421">
        <v>9</v>
      </c>
      <c r="B12" s="211">
        <v>45</v>
      </c>
      <c r="C12" s="211">
        <f t="shared" si="4"/>
        <v>225</v>
      </c>
      <c r="D12" s="421">
        <v>9</v>
      </c>
      <c r="E12" s="211">
        <v>334</v>
      </c>
      <c r="F12" s="211">
        <f t="shared" si="5"/>
        <v>1224</v>
      </c>
      <c r="G12" s="440" t="s">
        <v>338</v>
      </c>
      <c r="H12" s="122">
        <v>13200</v>
      </c>
      <c r="I12" s="122">
        <f t="shared" si="6"/>
        <v>46320</v>
      </c>
      <c r="J12" s="122">
        <v>1800</v>
      </c>
      <c r="K12" s="122">
        <f t="shared" si="7"/>
        <v>6204</v>
      </c>
      <c r="L12" s="441" t="s">
        <v>86</v>
      </c>
      <c r="M12" s="69">
        <v>60000</v>
      </c>
      <c r="N12" s="69">
        <f t="shared" si="20"/>
        <v>265000</v>
      </c>
      <c r="O12" s="69">
        <v>1500</v>
      </c>
      <c r="P12" s="69">
        <f t="shared" si="21"/>
        <v>7300</v>
      </c>
      <c r="Q12" s="8"/>
      <c r="R12" s="439"/>
      <c r="S12" s="426">
        <v>9</v>
      </c>
      <c r="T12" s="431">
        <v>4</v>
      </c>
      <c r="U12" s="432">
        <v>0</v>
      </c>
      <c r="V12" s="211">
        <v>16</v>
      </c>
      <c r="W12" s="211">
        <v>0</v>
      </c>
      <c r="X12" s="432">
        <v>80</v>
      </c>
      <c r="Y12" s="432">
        <v>0</v>
      </c>
      <c r="Z12" s="432">
        <v>3</v>
      </c>
      <c r="AA12" s="432">
        <v>0</v>
      </c>
      <c r="AB12" s="437">
        <v>15</v>
      </c>
      <c r="AC12" s="437">
        <v>0</v>
      </c>
      <c r="AD12" s="230">
        <v>5</v>
      </c>
      <c r="AE12" s="211">
        <v>0</v>
      </c>
      <c r="AF12" s="432">
        <v>20</v>
      </c>
      <c r="AG12" s="432">
        <v>0</v>
      </c>
      <c r="AH12" s="211">
        <v>100</v>
      </c>
      <c r="AI12" s="211">
        <v>0</v>
      </c>
      <c r="AJ12" s="69">
        <v>4</v>
      </c>
      <c r="AK12" s="69">
        <v>0</v>
      </c>
      <c r="AL12" s="435">
        <f t="shared" ref="AL12:AM12" si="85">AJ12*5</f>
        <v>20</v>
      </c>
      <c r="AM12" s="435">
        <f t="shared" si="85"/>
        <v>0</v>
      </c>
      <c r="AN12" s="211">
        <v>5</v>
      </c>
      <c r="AO12" s="211">
        <v>0</v>
      </c>
      <c r="AP12" s="432">
        <v>25</v>
      </c>
      <c r="AQ12" s="432">
        <v>0</v>
      </c>
      <c r="AR12" s="432">
        <v>125</v>
      </c>
      <c r="AS12" s="432">
        <v>0</v>
      </c>
      <c r="AT12" s="432">
        <v>5</v>
      </c>
      <c r="AU12" s="432">
        <v>0</v>
      </c>
      <c r="AV12" s="432">
        <v>25</v>
      </c>
      <c r="AW12" s="433">
        <v>0</v>
      </c>
      <c r="AX12" s="230">
        <v>5</v>
      </c>
      <c r="AY12" s="211">
        <v>0</v>
      </c>
      <c r="AZ12" s="432">
        <v>25</v>
      </c>
      <c r="BA12" s="432">
        <v>0</v>
      </c>
      <c r="BB12" s="432">
        <v>125</v>
      </c>
      <c r="BC12" s="432">
        <v>0</v>
      </c>
      <c r="BD12" s="432">
        <v>5</v>
      </c>
      <c r="BE12" s="432">
        <v>0</v>
      </c>
      <c r="BF12" s="432">
        <f t="shared" ref="BF12:BG12" si="86">BD12*5</f>
        <v>25</v>
      </c>
      <c r="BG12" s="433">
        <f t="shared" si="86"/>
        <v>0</v>
      </c>
      <c r="BH12" s="427">
        <v>9</v>
      </c>
      <c r="BI12" s="211">
        <f t="shared" ref="BI12:BR12" si="87">BI11+T12</f>
        <v>24</v>
      </c>
      <c r="BJ12" s="211">
        <f t="shared" si="87"/>
        <v>0</v>
      </c>
      <c r="BK12" s="211">
        <f t="shared" si="87"/>
        <v>96</v>
      </c>
      <c r="BL12" s="211">
        <f t="shared" si="87"/>
        <v>0</v>
      </c>
      <c r="BM12" s="211">
        <f t="shared" si="87"/>
        <v>480</v>
      </c>
      <c r="BN12" s="211">
        <f t="shared" si="87"/>
        <v>0</v>
      </c>
      <c r="BO12" s="211">
        <f t="shared" si="87"/>
        <v>20</v>
      </c>
      <c r="BP12" s="211">
        <f t="shared" si="87"/>
        <v>0</v>
      </c>
      <c r="BQ12" s="211">
        <f t="shared" si="87"/>
        <v>100</v>
      </c>
      <c r="BR12" s="211">
        <f t="shared" si="87"/>
        <v>0</v>
      </c>
      <c r="BS12" s="427">
        <v>9</v>
      </c>
      <c r="BT12" s="211">
        <f t="shared" ref="BT12:CC12" si="88">BT11+AD12</f>
        <v>29</v>
      </c>
      <c r="BU12" s="211">
        <f t="shared" si="88"/>
        <v>0</v>
      </c>
      <c r="BV12" s="211">
        <f t="shared" si="88"/>
        <v>121</v>
      </c>
      <c r="BW12" s="211">
        <f t="shared" si="88"/>
        <v>0</v>
      </c>
      <c r="BX12" s="211">
        <f t="shared" si="88"/>
        <v>605</v>
      </c>
      <c r="BY12" s="211">
        <f t="shared" si="88"/>
        <v>0</v>
      </c>
      <c r="BZ12" s="211">
        <f t="shared" si="88"/>
        <v>24</v>
      </c>
      <c r="CA12" s="211">
        <f t="shared" si="88"/>
        <v>0</v>
      </c>
      <c r="CB12" s="211">
        <f t="shared" si="88"/>
        <v>120</v>
      </c>
      <c r="CC12" s="211">
        <f t="shared" si="88"/>
        <v>0</v>
      </c>
      <c r="CD12" s="427">
        <v>9</v>
      </c>
      <c r="CE12" s="211">
        <f t="shared" ref="CE12:CN12" si="89">CE11+AN12</f>
        <v>29</v>
      </c>
      <c r="CF12" s="211">
        <f t="shared" si="89"/>
        <v>0</v>
      </c>
      <c r="CG12" s="211">
        <f t="shared" si="89"/>
        <v>145</v>
      </c>
      <c r="CH12" s="211">
        <f t="shared" si="89"/>
        <v>0</v>
      </c>
      <c r="CI12" s="211">
        <f t="shared" si="89"/>
        <v>725</v>
      </c>
      <c r="CJ12" s="211">
        <f t="shared" si="89"/>
        <v>0</v>
      </c>
      <c r="CK12" s="211">
        <f t="shared" si="89"/>
        <v>29</v>
      </c>
      <c r="CL12" s="211">
        <f t="shared" si="89"/>
        <v>0</v>
      </c>
      <c r="CM12" s="211">
        <f t="shared" si="89"/>
        <v>145</v>
      </c>
      <c r="CN12" s="211">
        <f t="shared" si="89"/>
        <v>0</v>
      </c>
      <c r="CO12" s="427">
        <v>9</v>
      </c>
      <c r="CP12" s="211">
        <f t="shared" ref="CP12:CY12" si="90">CP11+AX12</f>
        <v>29</v>
      </c>
      <c r="CQ12" s="211">
        <f t="shared" si="90"/>
        <v>0</v>
      </c>
      <c r="CR12" s="211">
        <f t="shared" si="90"/>
        <v>145</v>
      </c>
      <c r="CS12" s="211">
        <f t="shared" si="90"/>
        <v>0</v>
      </c>
      <c r="CT12" s="211">
        <f t="shared" si="90"/>
        <v>725</v>
      </c>
      <c r="CU12" s="211">
        <f t="shared" si="90"/>
        <v>0</v>
      </c>
      <c r="CV12" s="211">
        <f t="shared" si="90"/>
        <v>29</v>
      </c>
      <c r="CW12" s="211">
        <f t="shared" si="90"/>
        <v>0</v>
      </c>
      <c r="CX12" s="211">
        <f t="shared" si="90"/>
        <v>145</v>
      </c>
      <c r="CY12" s="211">
        <f t="shared" si="90"/>
        <v>0</v>
      </c>
      <c r="CZ12" s="421">
        <v>9</v>
      </c>
      <c r="DA12" s="24">
        <v>1000</v>
      </c>
      <c r="DB12" s="211">
        <f t="shared" si="13"/>
        <v>4600</v>
      </c>
      <c r="DC12" s="211"/>
      <c r="DD12" s="211">
        <f t="shared" si="14"/>
        <v>0</v>
      </c>
      <c r="DE12" s="211"/>
      <c r="DF12" s="211"/>
      <c r="DG12" s="211"/>
      <c r="DH12" s="265">
        <v>9</v>
      </c>
      <c r="DI12" s="230">
        <v>3500</v>
      </c>
      <c r="DJ12" s="211">
        <v>7000</v>
      </c>
      <c r="DK12" s="232">
        <v>14000</v>
      </c>
      <c r="DL12" s="265">
        <v>9</v>
      </c>
      <c r="DM12" s="230">
        <v>7000</v>
      </c>
      <c r="DN12" s="211">
        <v>10500</v>
      </c>
      <c r="DO12" s="232">
        <v>21000</v>
      </c>
      <c r="DP12" s="266">
        <v>9</v>
      </c>
      <c r="DQ12" s="211">
        <v>14000</v>
      </c>
      <c r="DR12" s="232">
        <v>28000</v>
      </c>
      <c r="DS12" s="265">
        <v>9</v>
      </c>
      <c r="DT12" s="211">
        <f t="shared" ref="DT12:DV12" si="91">DI12+DT11</f>
        <v>16000</v>
      </c>
      <c r="DU12" s="211">
        <f t="shared" si="91"/>
        <v>32000</v>
      </c>
      <c r="DV12" s="211">
        <f t="shared" si="91"/>
        <v>64000</v>
      </c>
      <c r="DW12" s="211">
        <f t="shared" ref="DW12:DY12" si="92">DM12+DW11</f>
        <v>32000</v>
      </c>
      <c r="DX12" s="211">
        <f t="shared" si="92"/>
        <v>48000</v>
      </c>
      <c r="DY12" s="211">
        <f t="shared" si="92"/>
        <v>96000</v>
      </c>
      <c r="DZ12" s="211">
        <v>0</v>
      </c>
      <c r="EA12" s="211">
        <f t="shared" ref="EA12:EB12" si="93">DQ12+EA11</f>
        <v>64000</v>
      </c>
      <c r="EB12" s="211">
        <f t="shared" si="93"/>
        <v>128000</v>
      </c>
      <c r="EC12" s="428">
        <v>9</v>
      </c>
      <c r="ED12" s="211"/>
      <c r="EE12" s="211">
        <f t="shared" si="18"/>
        <v>0</v>
      </c>
      <c r="EF12" s="211"/>
      <c r="EG12" s="211">
        <v>3</v>
      </c>
      <c r="EH12" s="211">
        <v>3</v>
      </c>
      <c r="EI12" s="211">
        <v>10</v>
      </c>
      <c r="EJ12" s="211">
        <f t="shared" si="19"/>
        <v>10</v>
      </c>
      <c r="EK12" s="211"/>
      <c r="EL12" s="211"/>
      <c r="EM12" s="211"/>
      <c r="EN12" s="211"/>
    </row>
    <row r="13" spans="1:144" ht="15.75" customHeight="1" x14ac:dyDescent="0.2">
      <c r="A13" s="421">
        <v>10</v>
      </c>
      <c r="B13" s="211">
        <v>50</v>
      </c>
      <c r="C13" s="211">
        <f t="shared" si="4"/>
        <v>275</v>
      </c>
      <c r="D13" s="421">
        <v>10</v>
      </c>
      <c r="E13" s="211">
        <v>410</v>
      </c>
      <c r="F13" s="211">
        <f t="shared" si="5"/>
        <v>1634</v>
      </c>
      <c r="G13" s="442" t="s">
        <v>339</v>
      </c>
      <c r="H13" s="122">
        <v>15200</v>
      </c>
      <c r="I13" s="122">
        <f t="shared" si="6"/>
        <v>61520</v>
      </c>
      <c r="J13" s="122">
        <v>2000</v>
      </c>
      <c r="K13" s="122">
        <f t="shared" si="7"/>
        <v>8204</v>
      </c>
      <c r="L13" s="441" t="s">
        <v>340</v>
      </c>
      <c r="M13" s="69">
        <v>60000</v>
      </c>
      <c r="N13" s="69">
        <f t="shared" si="20"/>
        <v>325000</v>
      </c>
      <c r="O13" s="69">
        <v>1500</v>
      </c>
      <c r="P13" s="69">
        <f t="shared" si="21"/>
        <v>8800</v>
      </c>
      <c r="Q13" s="8"/>
      <c r="R13" s="439"/>
      <c r="S13" s="426">
        <v>10</v>
      </c>
      <c r="T13" s="431">
        <v>4</v>
      </c>
      <c r="U13" s="432">
        <v>0</v>
      </c>
      <c r="V13" s="211">
        <v>16</v>
      </c>
      <c r="W13" s="211">
        <v>0</v>
      </c>
      <c r="X13" s="432">
        <v>80</v>
      </c>
      <c r="Y13" s="432">
        <v>0</v>
      </c>
      <c r="Z13" s="432">
        <v>3</v>
      </c>
      <c r="AA13" s="432">
        <v>0</v>
      </c>
      <c r="AB13" s="437">
        <v>15</v>
      </c>
      <c r="AC13" s="437">
        <v>0</v>
      </c>
      <c r="AD13" s="230">
        <v>5</v>
      </c>
      <c r="AE13" s="211">
        <v>0</v>
      </c>
      <c r="AF13" s="432">
        <v>24</v>
      </c>
      <c r="AG13" s="432">
        <v>0</v>
      </c>
      <c r="AH13" s="211">
        <v>120</v>
      </c>
      <c r="AI13" s="211">
        <v>0</v>
      </c>
      <c r="AJ13" s="69">
        <v>4</v>
      </c>
      <c r="AK13" s="69">
        <v>0</v>
      </c>
      <c r="AL13" s="435">
        <f t="shared" ref="AL13:AM13" si="94">AJ13*5</f>
        <v>20</v>
      </c>
      <c r="AM13" s="435">
        <f t="shared" si="94"/>
        <v>0</v>
      </c>
      <c r="AN13" s="211">
        <v>5</v>
      </c>
      <c r="AO13" s="211">
        <v>0</v>
      </c>
      <c r="AP13" s="432">
        <v>25</v>
      </c>
      <c r="AQ13" s="432">
        <v>0</v>
      </c>
      <c r="AR13" s="432">
        <v>125</v>
      </c>
      <c r="AS13" s="432">
        <v>0</v>
      </c>
      <c r="AT13" s="432">
        <v>5</v>
      </c>
      <c r="AU13" s="432">
        <v>0</v>
      </c>
      <c r="AV13" s="432">
        <v>25</v>
      </c>
      <c r="AW13" s="433">
        <v>0</v>
      </c>
      <c r="AX13" s="230">
        <v>5</v>
      </c>
      <c r="AY13" s="211">
        <v>0</v>
      </c>
      <c r="AZ13" s="432">
        <v>25</v>
      </c>
      <c r="BA13" s="432">
        <v>0</v>
      </c>
      <c r="BB13" s="432">
        <v>125</v>
      </c>
      <c r="BC13" s="432">
        <v>0</v>
      </c>
      <c r="BD13" s="432">
        <v>5</v>
      </c>
      <c r="BE13" s="432">
        <v>0</v>
      </c>
      <c r="BF13" s="432">
        <f t="shared" ref="BF13:BG13" si="95">BD13*5</f>
        <v>25</v>
      </c>
      <c r="BG13" s="433">
        <f t="shared" si="95"/>
        <v>0</v>
      </c>
      <c r="BH13" s="427">
        <v>10</v>
      </c>
      <c r="BI13" s="211">
        <f t="shared" ref="BI13:BR13" si="96">BI12+T13</f>
        <v>28</v>
      </c>
      <c r="BJ13" s="211">
        <f t="shared" si="96"/>
        <v>0</v>
      </c>
      <c r="BK13" s="211">
        <f t="shared" si="96"/>
        <v>112</v>
      </c>
      <c r="BL13" s="211">
        <f t="shared" si="96"/>
        <v>0</v>
      </c>
      <c r="BM13" s="211">
        <f t="shared" si="96"/>
        <v>560</v>
      </c>
      <c r="BN13" s="211">
        <f t="shared" si="96"/>
        <v>0</v>
      </c>
      <c r="BO13" s="211">
        <f t="shared" si="96"/>
        <v>23</v>
      </c>
      <c r="BP13" s="211">
        <f t="shared" si="96"/>
        <v>0</v>
      </c>
      <c r="BQ13" s="211">
        <f t="shared" si="96"/>
        <v>115</v>
      </c>
      <c r="BR13" s="211">
        <f t="shared" si="96"/>
        <v>0</v>
      </c>
      <c r="BS13" s="427">
        <v>10</v>
      </c>
      <c r="BT13" s="211">
        <f t="shared" ref="BT13:CC13" si="97">BT12+AD13</f>
        <v>34</v>
      </c>
      <c r="BU13" s="211">
        <f t="shared" si="97"/>
        <v>0</v>
      </c>
      <c r="BV13" s="211">
        <f t="shared" si="97"/>
        <v>145</v>
      </c>
      <c r="BW13" s="211">
        <f t="shared" si="97"/>
        <v>0</v>
      </c>
      <c r="BX13" s="211">
        <f t="shared" si="97"/>
        <v>725</v>
      </c>
      <c r="BY13" s="211">
        <f t="shared" si="97"/>
        <v>0</v>
      </c>
      <c r="BZ13" s="211">
        <f t="shared" si="97"/>
        <v>28</v>
      </c>
      <c r="CA13" s="211">
        <f t="shared" si="97"/>
        <v>0</v>
      </c>
      <c r="CB13" s="211">
        <f t="shared" si="97"/>
        <v>140</v>
      </c>
      <c r="CC13" s="211">
        <f t="shared" si="97"/>
        <v>0</v>
      </c>
      <c r="CD13" s="427">
        <v>10</v>
      </c>
      <c r="CE13" s="211">
        <f t="shared" ref="CE13:CN13" si="98">CE12+AN13</f>
        <v>34</v>
      </c>
      <c r="CF13" s="211">
        <f t="shared" si="98"/>
        <v>0</v>
      </c>
      <c r="CG13" s="211">
        <f t="shared" si="98"/>
        <v>170</v>
      </c>
      <c r="CH13" s="211">
        <f t="shared" si="98"/>
        <v>0</v>
      </c>
      <c r="CI13" s="211">
        <f t="shared" si="98"/>
        <v>850</v>
      </c>
      <c r="CJ13" s="211">
        <f t="shared" si="98"/>
        <v>0</v>
      </c>
      <c r="CK13" s="211">
        <f t="shared" si="98"/>
        <v>34</v>
      </c>
      <c r="CL13" s="211">
        <f t="shared" si="98"/>
        <v>0</v>
      </c>
      <c r="CM13" s="211">
        <f t="shared" si="98"/>
        <v>170</v>
      </c>
      <c r="CN13" s="211">
        <f t="shared" si="98"/>
        <v>0</v>
      </c>
      <c r="CO13" s="427">
        <v>10</v>
      </c>
      <c r="CP13" s="211">
        <f t="shared" ref="CP13:CY13" si="99">CP12+AX13</f>
        <v>34</v>
      </c>
      <c r="CQ13" s="211">
        <f t="shared" si="99"/>
        <v>0</v>
      </c>
      <c r="CR13" s="211">
        <f t="shared" si="99"/>
        <v>170</v>
      </c>
      <c r="CS13" s="211">
        <f t="shared" si="99"/>
        <v>0</v>
      </c>
      <c r="CT13" s="211">
        <f t="shared" si="99"/>
        <v>850</v>
      </c>
      <c r="CU13" s="211">
        <f t="shared" si="99"/>
        <v>0</v>
      </c>
      <c r="CV13" s="211">
        <f t="shared" si="99"/>
        <v>34</v>
      </c>
      <c r="CW13" s="211">
        <f t="shared" si="99"/>
        <v>0</v>
      </c>
      <c r="CX13" s="211">
        <f t="shared" si="99"/>
        <v>170</v>
      </c>
      <c r="CY13" s="211">
        <f t="shared" si="99"/>
        <v>0</v>
      </c>
      <c r="CZ13" s="421">
        <v>10</v>
      </c>
      <c r="DA13" s="24">
        <v>2000</v>
      </c>
      <c r="DB13" s="211">
        <f t="shared" si="13"/>
        <v>6600</v>
      </c>
      <c r="DC13" s="211"/>
      <c r="DD13" s="211">
        <f t="shared" si="14"/>
        <v>0</v>
      </c>
      <c r="DE13" s="211"/>
      <c r="DF13" s="211"/>
      <c r="DG13" s="211"/>
      <c r="DH13" s="265">
        <v>10</v>
      </c>
      <c r="DI13" s="230">
        <v>4000</v>
      </c>
      <c r="DJ13" s="211">
        <v>8000</v>
      </c>
      <c r="DK13" s="232">
        <v>16000</v>
      </c>
      <c r="DL13" s="265">
        <v>10</v>
      </c>
      <c r="DM13" s="230">
        <v>8000</v>
      </c>
      <c r="DN13" s="211">
        <v>12000</v>
      </c>
      <c r="DO13" s="232">
        <v>24000</v>
      </c>
      <c r="DP13" s="266">
        <v>10</v>
      </c>
      <c r="DQ13" s="211">
        <v>16000</v>
      </c>
      <c r="DR13" s="232">
        <v>32000</v>
      </c>
      <c r="DS13" s="265">
        <v>10</v>
      </c>
      <c r="DT13" s="211">
        <f t="shared" ref="DT13:DV13" si="100">DI13+DT12</f>
        <v>20000</v>
      </c>
      <c r="DU13" s="211">
        <f t="shared" si="100"/>
        <v>40000</v>
      </c>
      <c r="DV13" s="211">
        <f t="shared" si="100"/>
        <v>80000</v>
      </c>
      <c r="DW13" s="211">
        <f t="shared" ref="DW13:DY13" si="101">DM13+DW12</f>
        <v>40000</v>
      </c>
      <c r="DX13" s="211">
        <f t="shared" si="101"/>
        <v>60000</v>
      </c>
      <c r="DY13" s="211">
        <f t="shared" si="101"/>
        <v>120000</v>
      </c>
      <c r="DZ13" s="211">
        <v>0</v>
      </c>
      <c r="EA13" s="211">
        <f t="shared" ref="EA13:EB13" si="102">DQ13+EA12</f>
        <v>80000</v>
      </c>
      <c r="EB13" s="211">
        <f t="shared" si="102"/>
        <v>160000</v>
      </c>
      <c r="EC13" s="428">
        <v>10</v>
      </c>
      <c r="ED13" s="211"/>
      <c r="EE13" s="211">
        <f t="shared" si="18"/>
        <v>0</v>
      </c>
      <c r="EF13" s="211"/>
      <c r="EG13" s="211"/>
      <c r="EH13" s="211"/>
      <c r="EI13" s="211"/>
      <c r="EJ13" s="211"/>
      <c r="EK13" s="211"/>
      <c r="EL13" s="211"/>
      <c r="EM13" s="211"/>
      <c r="EN13" s="211"/>
    </row>
    <row r="14" spans="1:144" ht="15.75" customHeight="1" x14ac:dyDescent="0.2">
      <c r="A14" s="421">
        <v>11</v>
      </c>
      <c r="B14" s="211">
        <v>55</v>
      </c>
      <c r="C14" s="211">
        <f t="shared" si="4"/>
        <v>330</v>
      </c>
      <c r="D14" s="421">
        <v>11</v>
      </c>
      <c r="E14" s="211">
        <v>494</v>
      </c>
      <c r="F14" s="211">
        <f t="shared" si="5"/>
        <v>2128</v>
      </c>
      <c r="G14" s="442" t="s">
        <v>341</v>
      </c>
      <c r="H14" s="129">
        <v>23200</v>
      </c>
      <c r="I14" s="129">
        <f t="shared" si="6"/>
        <v>84720</v>
      </c>
      <c r="J14" s="129">
        <v>2300</v>
      </c>
      <c r="K14" s="129">
        <f t="shared" si="7"/>
        <v>10504</v>
      </c>
      <c r="L14" s="441" t="s">
        <v>87</v>
      </c>
      <c r="M14" s="69">
        <v>60000</v>
      </c>
      <c r="N14" s="69">
        <f t="shared" si="20"/>
        <v>385000</v>
      </c>
      <c r="O14" s="69">
        <v>1500</v>
      </c>
      <c r="P14" s="69">
        <f t="shared" si="21"/>
        <v>10300</v>
      </c>
      <c r="Q14" s="8"/>
      <c r="R14" s="439"/>
      <c r="S14" s="426">
        <v>11</v>
      </c>
      <c r="T14" s="431">
        <v>5</v>
      </c>
      <c r="U14" s="432">
        <v>0</v>
      </c>
      <c r="V14" s="211">
        <v>20</v>
      </c>
      <c r="W14" s="211">
        <v>0</v>
      </c>
      <c r="X14" s="432">
        <v>100</v>
      </c>
      <c r="Y14" s="432">
        <v>0</v>
      </c>
      <c r="Z14" s="432">
        <v>4</v>
      </c>
      <c r="AA14" s="432">
        <v>0</v>
      </c>
      <c r="AB14" s="437">
        <v>20</v>
      </c>
      <c r="AC14" s="437">
        <v>0</v>
      </c>
      <c r="AD14" s="230">
        <v>6</v>
      </c>
      <c r="AE14" s="211">
        <v>0</v>
      </c>
      <c r="AF14" s="432">
        <v>24</v>
      </c>
      <c r="AG14" s="432">
        <v>0</v>
      </c>
      <c r="AH14" s="211">
        <v>120</v>
      </c>
      <c r="AI14" s="211">
        <v>0</v>
      </c>
      <c r="AJ14" s="69">
        <v>5</v>
      </c>
      <c r="AK14" s="69">
        <v>0</v>
      </c>
      <c r="AL14" s="435">
        <f t="shared" ref="AL14:AM14" si="103">AJ14*5</f>
        <v>25</v>
      </c>
      <c r="AM14" s="435">
        <f t="shared" si="103"/>
        <v>0</v>
      </c>
      <c r="AN14" s="211">
        <v>6</v>
      </c>
      <c r="AO14" s="211">
        <v>0</v>
      </c>
      <c r="AP14" s="432">
        <v>30</v>
      </c>
      <c r="AQ14" s="432">
        <v>0</v>
      </c>
      <c r="AR14" s="432">
        <v>150</v>
      </c>
      <c r="AS14" s="432">
        <v>0</v>
      </c>
      <c r="AT14" s="432">
        <v>6</v>
      </c>
      <c r="AU14" s="432">
        <v>0</v>
      </c>
      <c r="AV14" s="432">
        <v>30</v>
      </c>
      <c r="AW14" s="433">
        <v>0</v>
      </c>
      <c r="AX14" s="230">
        <v>6</v>
      </c>
      <c r="AY14" s="211">
        <v>0</v>
      </c>
      <c r="AZ14" s="432">
        <v>30</v>
      </c>
      <c r="BA14" s="432">
        <v>0</v>
      </c>
      <c r="BB14" s="432">
        <v>150</v>
      </c>
      <c r="BC14" s="432">
        <v>0</v>
      </c>
      <c r="BD14" s="432">
        <v>6</v>
      </c>
      <c r="BE14" s="432">
        <v>0</v>
      </c>
      <c r="BF14" s="432">
        <f t="shared" ref="BF14:BG14" si="104">BD14*5</f>
        <v>30</v>
      </c>
      <c r="BG14" s="433">
        <f t="shared" si="104"/>
        <v>0</v>
      </c>
      <c r="BH14" s="427">
        <v>11</v>
      </c>
      <c r="BI14" s="211">
        <f t="shared" ref="BI14:BR14" si="105">BI13+T14</f>
        <v>33</v>
      </c>
      <c r="BJ14" s="211">
        <f t="shared" si="105"/>
        <v>0</v>
      </c>
      <c r="BK14" s="211">
        <f t="shared" si="105"/>
        <v>132</v>
      </c>
      <c r="BL14" s="211">
        <f t="shared" si="105"/>
        <v>0</v>
      </c>
      <c r="BM14" s="211">
        <f t="shared" si="105"/>
        <v>660</v>
      </c>
      <c r="BN14" s="211">
        <f t="shared" si="105"/>
        <v>0</v>
      </c>
      <c r="BO14" s="211">
        <f t="shared" si="105"/>
        <v>27</v>
      </c>
      <c r="BP14" s="211">
        <f t="shared" si="105"/>
        <v>0</v>
      </c>
      <c r="BQ14" s="211">
        <f t="shared" si="105"/>
        <v>135</v>
      </c>
      <c r="BR14" s="211">
        <f t="shared" si="105"/>
        <v>0</v>
      </c>
      <c r="BS14" s="427">
        <v>11</v>
      </c>
      <c r="BT14" s="211">
        <f t="shared" ref="BT14:CC14" si="106">BT13+AD14</f>
        <v>40</v>
      </c>
      <c r="BU14" s="211">
        <f t="shared" si="106"/>
        <v>0</v>
      </c>
      <c r="BV14" s="211">
        <f t="shared" si="106"/>
        <v>169</v>
      </c>
      <c r="BW14" s="211">
        <f t="shared" si="106"/>
        <v>0</v>
      </c>
      <c r="BX14" s="211">
        <f t="shared" si="106"/>
        <v>845</v>
      </c>
      <c r="BY14" s="211">
        <f t="shared" si="106"/>
        <v>0</v>
      </c>
      <c r="BZ14" s="211">
        <f t="shared" si="106"/>
        <v>33</v>
      </c>
      <c r="CA14" s="211">
        <f t="shared" si="106"/>
        <v>0</v>
      </c>
      <c r="CB14" s="211">
        <f t="shared" si="106"/>
        <v>165</v>
      </c>
      <c r="CC14" s="211">
        <f t="shared" si="106"/>
        <v>0</v>
      </c>
      <c r="CD14" s="427">
        <v>11</v>
      </c>
      <c r="CE14" s="211">
        <f t="shared" ref="CE14:CN14" si="107">CE13+AN14</f>
        <v>40</v>
      </c>
      <c r="CF14" s="211">
        <f t="shared" si="107"/>
        <v>0</v>
      </c>
      <c r="CG14" s="211">
        <f t="shared" si="107"/>
        <v>200</v>
      </c>
      <c r="CH14" s="211">
        <f t="shared" si="107"/>
        <v>0</v>
      </c>
      <c r="CI14" s="211">
        <f t="shared" si="107"/>
        <v>1000</v>
      </c>
      <c r="CJ14" s="211">
        <f t="shared" si="107"/>
        <v>0</v>
      </c>
      <c r="CK14" s="211">
        <f t="shared" si="107"/>
        <v>40</v>
      </c>
      <c r="CL14" s="211">
        <f t="shared" si="107"/>
        <v>0</v>
      </c>
      <c r="CM14" s="211">
        <f t="shared" si="107"/>
        <v>200</v>
      </c>
      <c r="CN14" s="211">
        <f t="shared" si="107"/>
        <v>0</v>
      </c>
      <c r="CO14" s="427">
        <v>11</v>
      </c>
      <c r="CP14" s="211">
        <f t="shared" ref="CP14:CY14" si="108">CP13+AX14</f>
        <v>40</v>
      </c>
      <c r="CQ14" s="211">
        <f t="shared" si="108"/>
        <v>0</v>
      </c>
      <c r="CR14" s="211">
        <f t="shared" si="108"/>
        <v>200</v>
      </c>
      <c r="CS14" s="211">
        <f t="shared" si="108"/>
        <v>0</v>
      </c>
      <c r="CT14" s="211">
        <f t="shared" si="108"/>
        <v>1000</v>
      </c>
      <c r="CU14" s="211">
        <f t="shared" si="108"/>
        <v>0</v>
      </c>
      <c r="CV14" s="211">
        <f t="shared" si="108"/>
        <v>40</v>
      </c>
      <c r="CW14" s="211">
        <f t="shared" si="108"/>
        <v>0</v>
      </c>
      <c r="CX14" s="211">
        <f t="shared" si="108"/>
        <v>200</v>
      </c>
      <c r="CY14" s="211">
        <f t="shared" si="108"/>
        <v>0</v>
      </c>
      <c r="CZ14" s="421">
        <v>11</v>
      </c>
      <c r="DA14" s="24">
        <v>3000</v>
      </c>
      <c r="DB14" s="211">
        <f t="shared" si="13"/>
        <v>9600</v>
      </c>
      <c r="DC14" s="211"/>
      <c r="DD14" s="211">
        <f t="shared" si="14"/>
        <v>0</v>
      </c>
      <c r="DE14" s="211"/>
      <c r="DF14" s="211"/>
      <c r="DG14" s="211"/>
      <c r="DH14" s="265">
        <v>11</v>
      </c>
      <c r="DI14" s="230">
        <v>5000</v>
      </c>
      <c r="DJ14" s="211">
        <v>10000</v>
      </c>
      <c r="DK14" s="232">
        <v>20000</v>
      </c>
      <c r="DL14" s="265">
        <v>11</v>
      </c>
      <c r="DM14" s="230">
        <v>10000</v>
      </c>
      <c r="DN14" s="211">
        <v>15000</v>
      </c>
      <c r="DO14" s="232">
        <v>30000</v>
      </c>
      <c r="DP14" s="266">
        <v>11</v>
      </c>
      <c r="DQ14" s="211">
        <v>20000</v>
      </c>
      <c r="DR14" s="232">
        <v>40000</v>
      </c>
      <c r="DS14" s="265">
        <v>11</v>
      </c>
      <c r="DT14" s="211">
        <f t="shared" ref="DT14:DV14" si="109">DI14+DT13</f>
        <v>25000</v>
      </c>
      <c r="DU14" s="211">
        <f t="shared" si="109"/>
        <v>50000</v>
      </c>
      <c r="DV14" s="211">
        <f t="shared" si="109"/>
        <v>100000</v>
      </c>
      <c r="DW14" s="211">
        <f t="shared" ref="DW14:DY14" si="110">DM14+DW13</f>
        <v>50000</v>
      </c>
      <c r="DX14" s="211">
        <f t="shared" si="110"/>
        <v>75000</v>
      </c>
      <c r="DY14" s="211">
        <f t="shared" si="110"/>
        <v>150000</v>
      </c>
      <c r="DZ14" s="211">
        <v>0</v>
      </c>
      <c r="EA14" s="211">
        <f t="shared" ref="EA14:EB14" si="111">DQ14+EA13</f>
        <v>100000</v>
      </c>
      <c r="EB14" s="211">
        <f t="shared" si="111"/>
        <v>200000</v>
      </c>
      <c r="EC14" s="428">
        <v>11</v>
      </c>
      <c r="ED14" s="211"/>
      <c r="EE14" s="211">
        <f t="shared" si="18"/>
        <v>0</v>
      </c>
      <c r="EF14" s="211"/>
      <c r="EG14" s="211"/>
      <c r="EH14" s="211"/>
      <c r="EI14" s="211"/>
      <c r="EJ14" s="211"/>
      <c r="EK14" s="211"/>
      <c r="EL14" s="211"/>
      <c r="EM14" s="211"/>
      <c r="EN14" s="211"/>
    </row>
    <row r="15" spans="1:144" ht="15.75" customHeight="1" x14ac:dyDescent="0.2">
      <c r="A15" s="421">
        <v>12</v>
      </c>
      <c r="B15" s="211">
        <v>60</v>
      </c>
      <c r="C15" s="211">
        <f t="shared" si="4"/>
        <v>390</v>
      </c>
      <c r="D15" s="421">
        <v>12</v>
      </c>
      <c r="E15" s="211">
        <v>586</v>
      </c>
      <c r="F15" s="211">
        <f t="shared" si="5"/>
        <v>2714</v>
      </c>
      <c r="G15" s="442" t="s">
        <v>342</v>
      </c>
      <c r="H15" s="129">
        <v>26200</v>
      </c>
      <c r="I15" s="129">
        <f t="shared" si="6"/>
        <v>110920</v>
      </c>
      <c r="J15" s="129">
        <v>2600</v>
      </c>
      <c r="K15" s="129">
        <f t="shared" si="7"/>
        <v>13104</v>
      </c>
      <c r="L15" s="441" t="s">
        <v>343</v>
      </c>
      <c r="M15" s="69">
        <v>60000</v>
      </c>
      <c r="N15" s="69">
        <f t="shared" si="20"/>
        <v>445000</v>
      </c>
      <c r="O15" s="69">
        <v>1500</v>
      </c>
      <c r="P15" s="69">
        <f t="shared" si="21"/>
        <v>11800</v>
      </c>
      <c r="Q15" s="8"/>
      <c r="R15" s="439"/>
      <c r="S15" s="426">
        <v>12</v>
      </c>
      <c r="T15" s="431">
        <v>5</v>
      </c>
      <c r="U15" s="432">
        <v>0</v>
      </c>
      <c r="V15" s="211">
        <v>20</v>
      </c>
      <c r="W15" s="211">
        <v>0</v>
      </c>
      <c r="X15" s="432">
        <v>100</v>
      </c>
      <c r="Y15" s="432">
        <v>0</v>
      </c>
      <c r="Z15" s="432">
        <v>4</v>
      </c>
      <c r="AA15" s="432">
        <v>0</v>
      </c>
      <c r="AB15" s="437">
        <v>20</v>
      </c>
      <c r="AC15" s="437">
        <v>0</v>
      </c>
      <c r="AD15" s="230">
        <v>6</v>
      </c>
      <c r="AE15" s="211">
        <v>0</v>
      </c>
      <c r="AF15" s="432">
        <v>28</v>
      </c>
      <c r="AG15" s="432">
        <v>0</v>
      </c>
      <c r="AH15" s="211">
        <v>140</v>
      </c>
      <c r="AI15" s="211">
        <v>0</v>
      </c>
      <c r="AJ15" s="69">
        <v>5</v>
      </c>
      <c r="AK15" s="69">
        <v>0</v>
      </c>
      <c r="AL15" s="435">
        <f t="shared" ref="AL15:AM15" si="112">AJ15*5</f>
        <v>25</v>
      </c>
      <c r="AM15" s="435">
        <f t="shared" si="112"/>
        <v>0</v>
      </c>
      <c r="AN15" s="211">
        <v>6</v>
      </c>
      <c r="AO15" s="211">
        <v>0</v>
      </c>
      <c r="AP15" s="432">
        <v>30</v>
      </c>
      <c r="AQ15" s="432">
        <v>0</v>
      </c>
      <c r="AR15" s="432">
        <v>150</v>
      </c>
      <c r="AS15" s="432">
        <v>0</v>
      </c>
      <c r="AT15" s="432">
        <v>6</v>
      </c>
      <c r="AU15" s="432">
        <v>0</v>
      </c>
      <c r="AV15" s="432">
        <v>30</v>
      </c>
      <c r="AW15" s="433">
        <v>0</v>
      </c>
      <c r="AX15" s="230">
        <v>6</v>
      </c>
      <c r="AY15" s="211">
        <v>0</v>
      </c>
      <c r="AZ15" s="432">
        <v>30</v>
      </c>
      <c r="BA15" s="432">
        <v>0</v>
      </c>
      <c r="BB15" s="432">
        <v>150</v>
      </c>
      <c r="BC15" s="432">
        <v>0</v>
      </c>
      <c r="BD15" s="432">
        <v>6</v>
      </c>
      <c r="BE15" s="432">
        <v>0</v>
      </c>
      <c r="BF15" s="432">
        <f t="shared" ref="BF15:BG15" si="113">BD15*5</f>
        <v>30</v>
      </c>
      <c r="BG15" s="433">
        <f t="shared" si="113"/>
        <v>0</v>
      </c>
      <c r="BH15" s="427">
        <v>12</v>
      </c>
      <c r="BI15" s="211">
        <f t="shared" ref="BI15:BR15" si="114">BI14+T15</f>
        <v>38</v>
      </c>
      <c r="BJ15" s="211">
        <f t="shared" si="114"/>
        <v>0</v>
      </c>
      <c r="BK15" s="211">
        <f t="shared" si="114"/>
        <v>152</v>
      </c>
      <c r="BL15" s="211">
        <f t="shared" si="114"/>
        <v>0</v>
      </c>
      <c r="BM15" s="211">
        <f t="shared" si="114"/>
        <v>760</v>
      </c>
      <c r="BN15" s="211">
        <f t="shared" si="114"/>
        <v>0</v>
      </c>
      <c r="BO15" s="211">
        <f t="shared" si="114"/>
        <v>31</v>
      </c>
      <c r="BP15" s="211">
        <f t="shared" si="114"/>
        <v>0</v>
      </c>
      <c r="BQ15" s="211">
        <f t="shared" si="114"/>
        <v>155</v>
      </c>
      <c r="BR15" s="211">
        <f t="shared" si="114"/>
        <v>0</v>
      </c>
      <c r="BS15" s="427">
        <v>12</v>
      </c>
      <c r="BT15" s="211">
        <f t="shared" ref="BT15:CC15" si="115">BT14+AD15</f>
        <v>46</v>
      </c>
      <c r="BU15" s="211">
        <f t="shared" si="115"/>
        <v>0</v>
      </c>
      <c r="BV15" s="211">
        <f t="shared" si="115"/>
        <v>197</v>
      </c>
      <c r="BW15" s="211">
        <f t="shared" si="115"/>
        <v>0</v>
      </c>
      <c r="BX15" s="211">
        <f t="shared" si="115"/>
        <v>985</v>
      </c>
      <c r="BY15" s="211">
        <f t="shared" si="115"/>
        <v>0</v>
      </c>
      <c r="BZ15" s="211">
        <f t="shared" si="115"/>
        <v>38</v>
      </c>
      <c r="CA15" s="211">
        <f t="shared" si="115"/>
        <v>0</v>
      </c>
      <c r="CB15" s="211">
        <f t="shared" si="115"/>
        <v>190</v>
      </c>
      <c r="CC15" s="211">
        <f t="shared" si="115"/>
        <v>0</v>
      </c>
      <c r="CD15" s="427">
        <v>12</v>
      </c>
      <c r="CE15" s="211">
        <f t="shared" ref="CE15:CN15" si="116">CE14+AN15</f>
        <v>46</v>
      </c>
      <c r="CF15" s="211">
        <f t="shared" si="116"/>
        <v>0</v>
      </c>
      <c r="CG15" s="211">
        <f t="shared" si="116"/>
        <v>230</v>
      </c>
      <c r="CH15" s="211">
        <f t="shared" si="116"/>
        <v>0</v>
      </c>
      <c r="CI15" s="211">
        <f t="shared" si="116"/>
        <v>1150</v>
      </c>
      <c r="CJ15" s="211">
        <f t="shared" si="116"/>
        <v>0</v>
      </c>
      <c r="CK15" s="211">
        <f t="shared" si="116"/>
        <v>46</v>
      </c>
      <c r="CL15" s="211">
        <f t="shared" si="116"/>
        <v>0</v>
      </c>
      <c r="CM15" s="211">
        <f t="shared" si="116"/>
        <v>230</v>
      </c>
      <c r="CN15" s="211">
        <f t="shared" si="116"/>
        <v>0</v>
      </c>
      <c r="CO15" s="427">
        <v>12</v>
      </c>
      <c r="CP15" s="211">
        <f t="shared" ref="CP15:CY15" si="117">CP14+AX15</f>
        <v>46</v>
      </c>
      <c r="CQ15" s="211">
        <f t="shared" si="117"/>
        <v>0</v>
      </c>
      <c r="CR15" s="211">
        <f t="shared" si="117"/>
        <v>230</v>
      </c>
      <c r="CS15" s="211">
        <f t="shared" si="117"/>
        <v>0</v>
      </c>
      <c r="CT15" s="211">
        <f t="shared" si="117"/>
        <v>1150</v>
      </c>
      <c r="CU15" s="211">
        <f t="shared" si="117"/>
        <v>0</v>
      </c>
      <c r="CV15" s="211">
        <f t="shared" si="117"/>
        <v>46</v>
      </c>
      <c r="CW15" s="211">
        <f t="shared" si="117"/>
        <v>0</v>
      </c>
      <c r="CX15" s="211">
        <f t="shared" si="117"/>
        <v>230</v>
      </c>
      <c r="CY15" s="211">
        <f t="shared" si="117"/>
        <v>0</v>
      </c>
      <c r="CZ15" s="421">
        <v>12</v>
      </c>
      <c r="DA15" s="24">
        <v>4000</v>
      </c>
      <c r="DB15" s="211">
        <f t="shared" si="13"/>
        <v>13600</v>
      </c>
      <c r="DC15" s="211"/>
      <c r="DD15" s="211">
        <f t="shared" si="14"/>
        <v>0</v>
      </c>
      <c r="DE15" s="211"/>
      <c r="DF15" s="211"/>
      <c r="DG15" s="211"/>
      <c r="DH15" s="265">
        <v>12</v>
      </c>
      <c r="DI15" s="230">
        <v>6000</v>
      </c>
      <c r="DJ15" s="211">
        <v>12000</v>
      </c>
      <c r="DK15" s="232">
        <v>24000</v>
      </c>
      <c r="DL15" s="265">
        <v>12</v>
      </c>
      <c r="DM15" s="230">
        <v>12000</v>
      </c>
      <c r="DN15" s="211">
        <v>18000</v>
      </c>
      <c r="DO15" s="232">
        <v>36000</v>
      </c>
      <c r="DP15" s="266">
        <v>12</v>
      </c>
      <c r="DQ15" s="211">
        <v>24000</v>
      </c>
      <c r="DR15" s="232">
        <v>48000</v>
      </c>
      <c r="DS15" s="265">
        <v>12</v>
      </c>
      <c r="DT15" s="211">
        <f t="shared" ref="DT15:DV15" si="118">DI15+DT14</f>
        <v>31000</v>
      </c>
      <c r="DU15" s="211">
        <f t="shared" si="118"/>
        <v>62000</v>
      </c>
      <c r="DV15" s="211">
        <f t="shared" si="118"/>
        <v>124000</v>
      </c>
      <c r="DW15" s="211">
        <f t="shared" ref="DW15:DY15" si="119">DM15+DW14</f>
        <v>62000</v>
      </c>
      <c r="DX15" s="211">
        <f t="shared" si="119"/>
        <v>93000</v>
      </c>
      <c r="DY15" s="211">
        <f t="shared" si="119"/>
        <v>186000</v>
      </c>
      <c r="DZ15" s="211">
        <v>0</v>
      </c>
      <c r="EA15" s="211">
        <f t="shared" ref="EA15:EB15" si="120">DQ15+EA14</f>
        <v>124000</v>
      </c>
      <c r="EB15" s="211">
        <f t="shared" si="120"/>
        <v>248000</v>
      </c>
      <c r="EC15" s="428">
        <v>12</v>
      </c>
      <c r="ED15" s="211"/>
      <c r="EE15" s="211">
        <f t="shared" si="18"/>
        <v>0</v>
      </c>
      <c r="EF15" s="211"/>
      <c r="EG15" s="211"/>
      <c r="EH15" s="211"/>
      <c r="EI15" s="211"/>
      <c r="EJ15" s="211"/>
      <c r="EK15" s="211"/>
      <c r="EL15" s="211"/>
      <c r="EM15" s="211"/>
      <c r="EN15" s="211"/>
    </row>
    <row r="16" spans="1:144" ht="15.75" customHeight="1" x14ac:dyDescent="0.2">
      <c r="A16" s="421">
        <v>13</v>
      </c>
      <c r="B16" s="211">
        <v>65</v>
      </c>
      <c r="C16" s="211">
        <f t="shared" si="4"/>
        <v>455</v>
      </c>
      <c r="D16" s="421">
        <v>13</v>
      </c>
      <c r="E16" s="211">
        <v>688</v>
      </c>
      <c r="F16" s="211">
        <f t="shared" si="5"/>
        <v>3402</v>
      </c>
      <c r="G16" s="442" t="s">
        <v>344</v>
      </c>
      <c r="H16" s="129">
        <v>29200</v>
      </c>
      <c r="I16" s="129">
        <f t="shared" si="6"/>
        <v>140120</v>
      </c>
      <c r="J16" s="129">
        <v>2900</v>
      </c>
      <c r="K16" s="129">
        <f t="shared" si="7"/>
        <v>16004</v>
      </c>
      <c r="L16" s="441" t="s">
        <v>345</v>
      </c>
      <c r="M16" s="69">
        <v>60000</v>
      </c>
      <c r="N16" s="69">
        <f t="shared" si="20"/>
        <v>505000</v>
      </c>
      <c r="O16" s="69">
        <v>1500</v>
      </c>
      <c r="P16" s="69">
        <f t="shared" si="21"/>
        <v>13300</v>
      </c>
      <c r="Q16" s="8"/>
      <c r="R16" s="439"/>
      <c r="S16" s="426">
        <v>13</v>
      </c>
      <c r="T16" s="431">
        <v>5</v>
      </c>
      <c r="U16" s="432">
        <v>0</v>
      </c>
      <c r="V16" s="211">
        <v>20</v>
      </c>
      <c r="W16" s="211">
        <v>0</v>
      </c>
      <c r="X16" s="432">
        <v>100</v>
      </c>
      <c r="Y16" s="432">
        <v>0</v>
      </c>
      <c r="Z16" s="211">
        <v>4</v>
      </c>
      <c r="AA16" s="211">
        <v>0</v>
      </c>
      <c r="AB16" s="437">
        <v>20</v>
      </c>
      <c r="AC16" s="437">
        <v>0</v>
      </c>
      <c r="AD16" s="230">
        <v>6</v>
      </c>
      <c r="AE16" s="211">
        <v>0</v>
      </c>
      <c r="AF16" s="432">
        <v>28</v>
      </c>
      <c r="AG16" s="432">
        <v>0</v>
      </c>
      <c r="AH16" s="211">
        <v>140</v>
      </c>
      <c r="AI16" s="211">
        <v>0</v>
      </c>
      <c r="AJ16" s="69">
        <v>5</v>
      </c>
      <c r="AK16" s="69">
        <v>0</v>
      </c>
      <c r="AL16" s="435">
        <f t="shared" ref="AL16:AM16" si="121">AJ16*5</f>
        <v>25</v>
      </c>
      <c r="AM16" s="435">
        <f t="shared" si="121"/>
        <v>0</v>
      </c>
      <c r="AN16" s="211">
        <v>6</v>
      </c>
      <c r="AO16" s="211">
        <v>0</v>
      </c>
      <c r="AP16" s="432">
        <v>30</v>
      </c>
      <c r="AQ16" s="432">
        <v>0</v>
      </c>
      <c r="AR16" s="432">
        <v>150</v>
      </c>
      <c r="AS16" s="432">
        <v>0</v>
      </c>
      <c r="AT16" s="432">
        <v>6</v>
      </c>
      <c r="AU16" s="432">
        <v>0</v>
      </c>
      <c r="AV16" s="432">
        <v>30</v>
      </c>
      <c r="AW16" s="433">
        <v>0</v>
      </c>
      <c r="AX16" s="230">
        <v>6</v>
      </c>
      <c r="AY16" s="211">
        <v>0</v>
      </c>
      <c r="AZ16" s="432">
        <v>30</v>
      </c>
      <c r="BA16" s="432">
        <v>0</v>
      </c>
      <c r="BB16" s="432">
        <v>150</v>
      </c>
      <c r="BC16" s="432">
        <v>0</v>
      </c>
      <c r="BD16" s="432">
        <v>6</v>
      </c>
      <c r="BE16" s="432">
        <v>0</v>
      </c>
      <c r="BF16" s="432">
        <f t="shared" ref="BF16:BG16" si="122">BD16*5</f>
        <v>30</v>
      </c>
      <c r="BG16" s="433">
        <f t="shared" si="122"/>
        <v>0</v>
      </c>
      <c r="BH16" s="427">
        <v>13</v>
      </c>
      <c r="BI16" s="211">
        <f t="shared" ref="BI16:BR16" si="123">BI15+T16</f>
        <v>43</v>
      </c>
      <c r="BJ16" s="211">
        <f t="shared" si="123"/>
        <v>0</v>
      </c>
      <c r="BK16" s="211">
        <f t="shared" si="123"/>
        <v>172</v>
      </c>
      <c r="BL16" s="211">
        <f t="shared" si="123"/>
        <v>0</v>
      </c>
      <c r="BM16" s="211">
        <f t="shared" si="123"/>
        <v>860</v>
      </c>
      <c r="BN16" s="211">
        <f t="shared" si="123"/>
        <v>0</v>
      </c>
      <c r="BO16" s="211">
        <f t="shared" si="123"/>
        <v>35</v>
      </c>
      <c r="BP16" s="211">
        <f t="shared" si="123"/>
        <v>0</v>
      </c>
      <c r="BQ16" s="211">
        <f t="shared" si="123"/>
        <v>175</v>
      </c>
      <c r="BR16" s="211">
        <f t="shared" si="123"/>
        <v>0</v>
      </c>
      <c r="BS16" s="427">
        <v>13</v>
      </c>
      <c r="BT16" s="211">
        <f t="shared" ref="BT16:CC16" si="124">BT15+AD16</f>
        <v>52</v>
      </c>
      <c r="BU16" s="211">
        <f t="shared" si="124"/>
        <v>0</v>
      </c>
      <c r="BV16" s="211">
        <f t="shared" si="124"/>
        <v>225</v>
      </c>
      <c r="BW16" s="211">
        <f t="shared" si="124"/>
        <v>0</v>
      </c>
      <c r="BX16" s="211">
        <f t="shared" si="124"/>
        <v>1125</v>
      </c>
      <c r="BY16" s="211">
        <f t="shared" si="124"/>
        <v>0</v>
      </c>
      <c r="BZ16" s="211">
        <f t="shared" si="124"/>
        <v>43</v>
      </c>
      <c r="CA16" s="211">
        <f t="shared" si="124"/>
        <v>0</v>
      </c>
      <c r="CB16" s="211">
        <f t="shared" si="124"/>
        <v>215</v>
      </c>
      <c r="CC16" s="211">
        <f t="shared" si="124"/>
        <v>0</v>
      </c>
      <c r="CD16" s="427">
        <v>13</v>
      </c>
      <c r="CE16" s="211">
        <f t="shared" ref="CE16:CN16" si="125">CE15+AN16</f>
        <v>52</v>
      </c>
      <c r="CF16" s="211">
        <f t="shared" si="125"/>
        <v>0</v>
      </c>
      <c r="CG16" s="211">
        <f t="shared" si="125"/>
        <v>260</v>
      </c>
      <c r="CH16" s="211">
        <f t="shared" si="125"/>
        <v>0</v>
      </c>
      <c r="CI16" s="211">
        <f t="shared" si="125"/>
        <v>1300</v>
      </c>
      <c r="CJ16" s="211">
        <f t="shared" si="125"/>
        <v>0</v>
      </c>
      <c r="CK16" s="211">
        <f t="shared" si="125"/>
        <v>52</v>
      </c>
      <c r="CL16" s="211">
        <f t="shared" si="125"/>
        <v>0</v>
      </c>
      <c r="CM16" s="211">
        <f t="shared" si="125"/>
        <v>260</v>
      </c>
      <c r="CN16" s="211">
        <f t="shared" si="125"/>
        <v>0</v>
      </c>
      <c r="CO16" s="427">
        <v>13</v>
      </c>
      <c r="CP16" s="211">
        <f t="shared" ref="CP16:CY16" si="126">CP15+AX16</f>
        <v>52</v>
      </c>
      <c r="CQ16" s="211">
        <f t="shared" si="126"/>
        <v>0</v>
      </c>
      <c r="CR16" s="211">
        <f t="shared" si="126"/>
        <v>260</v>
      </c>
      <c r="CS16" s="211">
        <f t="shared" si="126"/>
        <v>0</v>
      </c>
      <c r="CT16" s="211">
        <f t="shared" si="126"/>
        <v>1300</v>
      </c>
      <c r="CU16" s="211">
        <f t="shared" si="126"/>
        <v>0</v>
      </c>
      <c r="CV16" s="211">
        <f t="shared" si="126"/>
        <v>52</v>
      </c>
      <c r="CW16" s="211">
        <f t="shared" si="126"/>
        <v>0</v>
      </c>
      <c r="CX16" s="211">
        <f t="shared" si="126"/>
        <v>260</v>
      </c>
      <c r="CY16" s="211">
        <f t="shared" si="126"/>
        <v>0</v>
      </c>
      <c r="CZ16" s="421">
        <v>13</v>
      </c>
      <c r="DA16" s="24">
        <v>5000</v>
      </c>
      <c r="DB16" s="211">
        <f t="shared" si="13"/>
        <v>18600</v>
      </c>
      <c r="DC16" s="211"/>
      <c r="DD16" s="211">
        <f t="shared" si="14"/>
        <v>0</v>
      </c>
      <c r="DE16" s="211"/>
      <c r="DF16" s="211"/>
      <c r="DG16" s="211"/>
      <c r="DH16" s="265">
        <v>13</v>
      </c>
      <c r="DI16" s="230">
        <v>7500</v>
      </c>
      <c r="DJ16" s="211">
        <v>15000</v>
      </c>
      <c r="DK16" s="232">
        <v>30000</v>
      </c>
      <c r="DL16" s="265">
        <v>13</v>
      </c>
      <c r="DM16" s="230">
        <v>15000</v>
      </c>
      <c r="DN16" s="211">
        <v>22500</v>
      </c>
      <c r="DO16" s="232">
        <v>45000</v>
      </c>
      <c r="DP16" s="266">
        <v>13</v>
      </c>
      <c r="DQ16" s="211">
        <v>30000</v>
      </c>
      <c r="DR16" s="232">
        <v>60000</v>
      </c>
      <c r="DS16" s="265">
        <v>13</v>
      </c>
      <c r="DT16" s="211">
        <f t="shared" ref="DT16:DV16" si="127">DI16+DT15</f>
        <v>38500</v>
      </c>
      <c r="DU16" s="211">
        <f t="shared" si="127"/>
        <v>77000</v>
      </c>
      <c r="DV16" s="211">
        <f t="shared" si="127"/>
        <v>154000</v>
      </c>
      <c r="DW16" s="211">
        <f t="shared" ref="DW16:DY16" si="128">DM16+DW15</f>
        <v>77000</v>
      </c>
      <c r="DX16" s="211">
        <f t="shared" si="128"/>
        <v>115500</v>
      </c>
      <c r="DY16" s="211">
        <f t="shared" si="128"/>
        <v>231000</v>
      </c>
      <c r="DZ16" s="211">
        <v>0</v>
      </c>
      <c r="EA16" s="211">
        <f t="shared" ref="EA16:EB16" si="129">DQ16+EA15</f>
        <v>154000</v>
      </c>
      <c r="EB16" s="211">
        <f t="shared" si="129"/>
        <v>308000</v>
      </c>
      <c r="EC16" s="428">
        <v>13</v>
      </c>
      <c r="ED16" s="211"/>
      <c r="EE16" s="211">
        <f t="shared" si="18"/>
        <v>0</v>
      </c>
      <c r="EF16" s="211"/>
      <c r="EG16" s="211"/>
      <c r="EH16" s="211"/>
      <c r="EI16" s="211"/>
      <c r="EJ16" s="211"/>
      <c r="EK16" s="211"/>
      <c r="EL16" s="211"/>
      <c r="EM16" s="211"/>
      <c r="EN16" s="211"/>
    </row>
    <row r="17" spans="1:144" ht="15.75" customHeight="1" x14ac:dyDescent="0.2">
      <c r="A17" s="421">
        <v>14</v>
      </c>
      <c r="B17" s="211">
        <v>70</v>
      </c>
      <c r="C17" s="211">
        <f t="shared" si="4"/>
        <v>525</v>
      </c>
      <c r="D17" s="421">
        <v>14</v>
      </c>
      <c r="E17" s="211">
        <v>798</v>
      </c>
      <c r="F17" s="211">
        <f t="shared" si="5"/>
        <v>4200</v>
      </c>
      <c r="G17" s="442" t="s">
        <v>346</v>
      </c>
      <c r="H17" s="129">
        <v>32200</v>
      </c>
      <c r="I17" s="129">
        <f t="shared" si="6"/>
        <v>172320</v>
      </c>
      <c r="J17" s="129">
        <v>3200</v>
      </c>
      <c r="K17" s="129">
        <f t="shared" si="7"/>
        <v>19204</v>
      </c>
      <c r="L17" s="441" t="s">
        <v>347</v>
      </c>
      <c r="M17" s="69">
        <v>60000</v>
      </c>
      <c r="N17" s="69">
        <f t="shared" si="20"/>
        <v>565000</v>
      </c>
      <c r="O17" s="69">
        <v>1500</v>
      </c>
      <c r="P17" s="69">
        <f t="shared" si="21"/>
        <v>14800</v>
      </c>
      <c r="Q17" s="8"/>
      <c r="R17" s="439"/>
      <c r="S17" s="426">
        <v>14</v>
      </c>
      <c r="T17" s="431">
        <v>6</v>
      </c>
      <c r="U17" s="432">
        <v>0</v>
      </c>
      <c r="V17" s="211">
        <v>24</v>
      </c>
      <c r="W17" s="211">
        <v>0</v>
      </c>
      <c r="X17" s="432">
        <v>120</v>
      </c>
      <c r="Y17" s="432">
        <v>0</v>
      </c>
      <c r="Z17" s="432">
        <v>5</v>
      </c>
      <c r="AA17" s="432">
        <v>0</v>
      </c>
      <c r="AB17" s="437">
        <v>25</v>
      </c>
      <c r="AC17" s="437">
        <v>0</v>
      </c>
      <c r="AD17" s="230">
        <v>8</v>
      </c>
      <c r="AE17" s="211">
        <v>0</v>
      </c>
      <c r="AF17" s="432">
        <v>32</v>
      </c>
      <c r="AG17" s="432">
        <v>0</v>
      </c>
      <c r="AH17" s="211">
        <v>160</v>
      </c>
      <c r="AI17" s="211">
        <v>0</v>
      </c>
      <c r="AJ17" s="69">
        <v>6</v>
      </c>
      <c r="AK17" s="69">
        <v>0</v>
      </c>
      <c r="AL17" s="435">
        <f t="shared" ref="AL17:AM17" si="130">AJ17*5</f>
        <v>30</v>
      </c>
      <c r="AM17" s="435">
        <f t="shared" si="130"/>
        <v>0</v>
      </c>
      <c r="AN17" s="211">
        <v>8</v>
      </c>
      <c r="AO17" s="211">
        <v>0</v>
      </c>
      <c r="AP17" s="432">
        <v>40</v>
      </c>
      <c r="AQ17" s="432">
        <v>0</v>
      </c>
      <c r="AR17" s="432">
        <v>200</v>
      </c>
      <c r="AS17" s="432">
        <v>0</v>
      </c>
      <c r="AT17" s="432">
        <v>8</v>
      </c>
      <c r="AU17" s="432">
        <v>0</v>
      </c>
      <c r="AV17" s="432">
        <v>40</v>
      </c>
      <c r="AW17" s="433">
        <v>0</v>
      </c>
      <c r="AX17" s="230">
        <v>8</v>
      </c>
      <c r="AY17" s="211">
        <v>0</v>
      </c>
      <c r="AZ17" s="432">
        <v>40</v>
      </c>
      <c r="BA17" s="432">
        <v>0</v>
      </c>
      <c r="BB17" s="211">
        <v>200</v>
      </c>
      <c r="BC17" s="211">
        <v>0</v>
      </c>
      <c r="BD17" s="432">
        <v>8</v>
      </c>
      <c r="BE17" s="432">
        <v>0</v>
      </c>
      <c r="BF17" s="432">
        <f t="shared" ref="BF17:BG17" si="131">BD17*5</f>
        <v>40</v>
      </c>
      <c r="BG17" s="433">
        <f t="shared" si="131"/>
        <v>0</v>
      </c>
      <c r="BH17" s="427">
        <v>14</v>
      </c>
      <c r="BI17" s="211">
        <f t="shared" ref="BI17:BR17" si="132">BI16+T17</f>
        <v>49</v>
      </c>
      <c r="BJ17" s="211">
        <f t="shared" si="132"/>
        <v>0</v>
      </c>
      <c r="BK17" s="211">
        <f t="shared" si="132"/>
        <v>196</v>
      </c>
      <c r="BL17" s="211">
        <f t="shared" si="132"/>
        <v>0</v>
      </c>
      <c r="BM17" s="211">
        <f t="shared" si="132"/>
        <v>980</v>
      </c>
      <c r="BN17" s="211">
        <f t="shared" si="132"/>
        <v>0</v>
      </c>
      <c r="BO17" s="211">
        <f t="shared" si="132"/>
        <v>40</v>
      </c>
      <c r="BP17" s="211">
        <f t="shared" si="132"/>
        <v>0</v>
      </c>
      <c r="BQ17" s="211">
        <f t="shared" si="132"/>
        <v>200</v>
      </c>
      <c r="BR17" s="211">
        <f t="shared" si="132"/>
        <v>0</v>
      </c>
      <c r="BS17" s="427">
        <v>14</v>
      </c>
      <c r="BT17" s="211">
        <f t="shared" ref="BT17:CC17" si="133">BT16+AD17</f>
        <v>60</v>
      </c>
      <c r="BU17" s="211">
        <f t="shared" si="133"/>
        <v>0</v>
      </c>
      <c r="BV17" s="211">
        <f t="shared" si="133"/>
        <v>257</v>
      </c>
      <c r="BW17" s="211">
        <f t="shared" si="133"/>
        <v>0</v>
      </c>
      <c r="BX17" s="211">
        <f t="shared" si="133"/>
        <v>1285</v>
      </c>
      <c r="BY17" s="211">
        <f t="shared" si="133"/>
        <v>0</v>
      </c>
      <c r="BZ17" s="211">
        <f t="shared" si="133"/>
        <v>49</v>
      </c>
      <c r="CA17" s="211">
        <f t="shared" si="133"/>
        <v>0</v>
      </c>
      <c r="CB17" s="211">
        <f t="shared" si="133"/>
        <v>245</v>
      </c>
      <c r="CC17" s="211">
        <f t="shared" si="133"/>
        <v>0</v>
      </c>
      <c r="CD17" s="427">
        <v>14</v>
      </c>
      <c r="CE17" s="211">
        <f t="shared" ref="CE17:CN17" si="134">CE16+AN17</f>
        <v>60</v>
      </c>
      <c r="CF17" s="211">
        <f t="shared" si="134"/>
        <v>0</v>
      </c>
      <c r="CG17" s="211">
        <f t="shared" si="134"/>
        <v>300</v>
      </c>
      <c r="CH17" s="211">
        <f t="shared" si="134"/>
        <v>0</v>
      </c>
      <c r="CI17" s="211">
        <f t="shared" si="134"/>
        <v>1500</v>
      </c>
      <c r="CJ17" s="211">
        <f t="shared" si="134"/>
        <v>0</v>
      </c>
      <c r="CK17" s="211">
        <f t="shared" si="134"/>
        <v>60</v>
      </c>
      <c r="CL17" s="211">
        <f t="shared" si="134"/>
        <v>0</v>
      </c>
      <c r="CM17" s="211">
        <f t="shared" si="134"/>
        <v>300</v>
      </c>
      <c r="CN17" s="211">
        <f t="shared" si="134"/>
        <v>0</v>
      </c>
      <c r="CO17" s="427">
        <v>14</v>
      </c>
      <c r="CP17" s="211">
        <f t="shared" ref="CP17:CY17" si="135">CP16+AX17</f>
        <v>60</v>
      </c>
      <c r="CQ17" s="211">
        <f t="shared" si="135"/>
        <v>0</v>
      </c>
      <c r="CR17" s="211">
        <f t="shared" si="135"/>
        <v>300</v>
      </c>
      <c r="CS17" s="211">
        <f t="shared" si="135"/>
        <v>0</v>
      </c>
      <c r="CT17" s="211">
        <f t="shared" si="135"/>
        <v>1500</v>
      </c>
      <c r="CU17" s="211">
        <f t="shared" si="135"/>
        <v>0</v>
      </c>
      <c r="CV17" s="211">
        <f t="shared" si="135"/>
        <v>60</v>
      </c>
      <c r="CW17" s="211">
        <f t="shared" si="135"/>
        <v>0</v>
      </c>
      <c r="CX17" s="211">
        <f t="shared" si="135"/>
        <v>300</v>
      </c>
      <c r="CY17" s="211">
        <f t="shared" si="135"/>
        <v>0</v>
      </c>
      <c r="CZ17" s="421">
        <v>14</v>
      </c>
      <c r="DA17" s="24">
        <v>6000</v>
      </c>
      <c r="DB17" s="211">
        <f t="shared" si="13"/>
        <v>24600</v>
      </c>
      <c r="DC17" s="211"/>
      <c r="DD17" s="211">
        <f t="shared" si="14"/>
        <v>0</v>
      </c>
      <c r="DE17" s="211"/>
      <c r="DF17" s="211"/>
      <c r="DG17" s="211"/>
      <c r="DH17" s="265">
        <v>14</v>
      </c>
      <c r="DI17" s="230">
        <v>10000</v>
      </c>
      <c r="DJ17" s="211">
        <v>20000</v>
      </c>
      <c r="DK17" s="232">
        <v>40000</v>
      </c>
      <c r="DL17" s="265">
        <v>14</v>
      </c>
      <c r="DM17" s="230">
        <v>20000</v>
      </c>
      <c r="DN17" s="211">
        <v>30000</v>
      </c>
      <c r="DO17" s="232">
        <v>60000</v>
      </c>
      <c r="DP17" s="266">
        <v>14</v>
      </c>
      <c r="DQ17" s="211">
        <v>40000</v>
      </c>
      <c r="DR17" s="232">
        <v>80000</v>
      </c>
      <c r="DS17" s="265">
        <v>14</v>
      </c>
      <c r="DT17" s="211">
        <f t="shared" ref="DT17:DV17" si="136">DI17+DT16</f>
        <v>48500</v>
      </c>
      <c r="DU17" s="211">
        <f t="shared" si="136"/>
        <v>97000</v>
      </c>
      <c r="DV17" s="211">
        <f t="shared" si="136"/>
        <v>194000</v>
      </c>
      <c r="DW17" s="211">
        <f t="shared" ref="DW17:DY17" si="137">DM17+DW16</f>
        <v>97000</v>
      </c>
      <c r="DX17" s="211">
        <f t="shared" si="137"/>
        <v>145500</v>
      </c>
      <c r="DY17" s="211">
        <f t="shared" si="137"/>
        <v>291000</v>
      </c>
      <c r="DZ17" s="211">
        <v>0</v>
      </c>
      <c r="EA17" s="211">
        <f t="shared" ref="EA17:EB17" si="138">DQ17+EA16</f>
        <v>194000</v>
      </c>
      <c r="EB17" s="211">
        <f t="shared" si="138"/>
        <v>388000</v>
      </c>
      <c r="EC17" s="428">
        <v>14</v>
      </c>
      <c r="ED17" s="211"/>
      <c r="EE17" s="211">
        <f t="shared" si="18"/>
        <v>0</v>
      </c>
      <c r="EF17" s="211"/>
      <c r="EG17" s="211"/>
      <c r="EH17" s="211"/>
      <c r="EI17" s="211"/>
      <c r="EJ17" s="211"/>
      <c r="EK17" s="211"/>
      <c r="EL17" s="211"/>
      <c r="EM17" s="211"/>
      <c r="EN17" s="211"/>
    </row>
    <row r="18" spans="1:144" ht="15.75" customHeight="1" x14ac:dyDescent="0.2">
      <c r="A18" s="421">
        <v>15</v>
      </c>
      <c r="B18" s="211">
        <v>75</v>
      </c>
      <c r="C18" s="211">
        <f t="shared" si="4"/>
        <v>600</v>
      </c>
      <c r="D18" s="421">
        <v>15</v>
      </c>
      <c r="E18" s="211">
        <v>916</v>
      </c>
      <c r="F18" s="211">
        <f t="shared" si="5"/>
        <v>5116</v>
      </c>
      <c r="G18" s="442" t="s">
        <v>348</v>
      </c>
      <c r="H18" s="129">
        <v>35200</v>
      </c>
      <c r="I18" s="129">
        <f t="shared" si="6"/>
        <v>207520</v>
      </c>
      <c r="J18" s="129">
        <v>3500</v>
      </c>
      <c r="K18" s="129">
        <f t="shared" si="7"/>
        <v>22704</v>
      </c>
      <c r="L18" s="441" t="s">
        <v>349</v>
      </c>
      <c r="M18" s="69">
        <v>60000</v>
      </c>
      <c r="N18" s="69">
        <f t="shared" si="20"/>
        <v>625000</v>
      </c>
      <c r="O18" s="69">
        <v>1500</v>
      </c>
      <c r="P18" s="69">
        <f t="shared" si="21"/>
        <v>16300</v>
      </c>
      <c r="Q18" s="8"/>
      <c r="R18" s="439"/>
      <c r="S18" s="426">
        <v>15</v>
      </c>
      <c r="T18" s="431">
        <v>6</v>
      </c>
      <c r="U18" s="432">
        <v>0</v>
      </c>
      <c r="V18" s="211">
        <v>24</v>
      </c>
      <c r="W18" s="211">
        <v>0</v>
      </c>
      <c r="X18" s="432">
        <v>120</v>
      </c>
      <c r="Y18" s="432">
        <v>0</v>
      </c>
      <c r="Z18" s="432">
        <v>5</v>
      </c>
      <c r="AA18" s="432">
        <v>0</v>
      </c>
      <c r="AB18" s="437">
        <v>25</v>
      </c>
      <c r="AC18" s="437">
        <v>0</v>
      </c>
      <c r="AD18" s="230">
        <v>8</v>
      </c>
      <c r="AE18" s="211">
        <v>0</v>
      </c>
      <c r="AF18" s="432">
        <v>32</v>
      </c>
      <c r="AG18" s="432">
        <v>0</v>
      </c>
      <c r="AH18" s="211">
        <v>160</v>
      </c>
      <c r="AI18" s="211">
        <v>0</v>
      </c>
      <c r="AJ18" s="69">
        <v>6</v>
      </c>
      <c r="AK18" s="69">
        <v>0</v>
      </c>
      <c r="AL18" s="435">
        <f t="shared" ref="AL18:AM18" si="139">AJ18*5</f>
        <v>30</v>
      </c>
      <c r="AM18" s="435">
        <f t="shared" si="139"/>
        <v>0</v>
      </c>
      <c r="AN18" s="211">
        <v>8</v>
      </c>
      <c r="AO18" s="211">
        <v>0</v>
      </c>
      <c r="AP18" s="432">
        <v>40</v>
      </c>
      <c r="AQ18" s="432">
        <v>0</v>
      </c>
      <c r="AR18" s="432">
        <v>200</v>
      </c>
      <c r="AS18" s="432">
        <v>0</v>
      </c>
      <c r="AT18" s="432">
        <v>8</v>
      </c>
      <c r="AU18" s="432">
        <v>0</v>
      </c>
      <c r="AV18" s="211">
        <v>40</v>
      </c>
      <c r="AW18" s="232">
        <v>0</v>
      </c>
      <c r="AX18" s="230">
        <v>8</v>
      </c>
      <c r="AY18" s="211">
        <v>0</v>
      </c>
      <c r="AZ18" s="432">
        <v>40</v>
      </c>
      <c r="BA18" s="432">
        <v>0</v>
      </c>
      <c r="BB18" s="432">
        <v>200</v>
      </c>
      <c r="BC18" s="432">
        <v>0</v>
      </c>
      <c r="BD18" s="432">
        <v>8</v>
      </c>
      <c r="BE18" s="432">
        <v>0</v>
      </c>
      <c r="BF18" s="432">
        <f t="shared" ref="BF18:BG18" si="140">BD18*5</f>
        <v>40</v>
      </c>
      <c r="BG18" s="433">
        <f t="shared" si="140"/>
        <v>0</v>
      </c>
      <c r="BH18" s="427">
        <v>15</v>
      </c>
      <c r="BI18" s="211">
        <f t="shared" ref="BI18:BR18" si="141">BI17+T18</f>
        <v>55</v>
      </c>
      <c r="BJ18" s="211">
        <f t="shared" si="141"/>
        <v>0</v>
      </c>
      <c r="BK18" s="211">
        <f t="shared" si="141"/>
        <v>220</v>
      </c>
      <c r="BL18" s="211">
        <f t="shared" si="141"/>
        <v>0</v>
      </c>
      <c r="BM18" s="211">
        <f t="shared" si="141"/>
        <v>1100</v>
      </c>
      <c r="BN18" s="211">
        <f t="shared" si="141"/>
        <v>0</v>
      </c>
      <c r="BO18" s="211">
        <f t="shared" si="141"/>
        <v>45</v>
      </c>
      <c r="BP18" s="211">
        <f t="shared" si="141"/>
        <v>0</v>
      </c>
      <c r="BQ18" s="211">
        <f t="shared" si="141"/>
        <v>225</v>
      </c>
      <c r="BR18" s="211">
        <f t="shared" si="141"/>
        <v>0</v>
      </c>
      <c r="BS18" s="427">
        <v>15</v>
      </c>
      <c r="BT18" s="211">
        <f t="shared" ref="BT18:CC18" si="142">BT17+AD18</f>
        <v>68</v>
      </c>
      <c r="BU18" s="211">
        <f t="shared" si="142"/>
        <v>0</v>
      </c>
      <c r="BV18" s="211">
        <f t="shared" si="142"/>
        <v>289</v>
      </c>
      <c r="BW18" s="211">
        <f t="shared" si="142"/>
        <v>0</v>
      </c>
      <c r="BX18" s="211">
        <f t="shared" si="142"/>
        <v>1445</v>
      </c>
      <c r="BY18" s="211">
        <f t="shared" si="142"/>
        <v>0</v>
      </c>
      <c r="BZ18" s="211">
        <f t="shared" si="142"/>
        <v>55</v>
      </c>
      <c r="CA18" s="211">
        <f t="shared" si="142"/>
        <v>0</v>
      </c>
      <c r="CB18" s="211">
        <f t="shared" si="142"/>
        <v>275</v>
      </c>
      <c r="CC18" s="211">
        <f t="shared" si="142"/>
        <v>0</v>
      </c>
      <c r="CD18" s="427">
        <v>15</v>
      </c>
      <c r="CE18" s="211">
        <f t="shared" ref="CE18:CN18" si="143">CE17+AN18</f>
        <v>68</v>
      </c>
      <c r="CF18" s="211">
        <f t="shared" si="143"/>
        <v>0</v>
      </c>
      <c r="CG18" s="211">
        <f t="shared" si="143"/>
        <v>340</v>
      </c>
      <c r="CH18" s="211">
        <f t="shared" si="143"/>
        <v>0</v>
      </c>
      <c r="CI18" s="211">
        <f t="shared" si="143"/>
        <v>1700</v>
      </c>
      <c r="CJ18" s="211">
        <f t="shared" si="143"/>
        <v>0</v>
      </c>
      <c r="CK18" s="211">
        <f t="shared" si="143"/>
        <v>68</v>
      </c>
      <c r="CL18" s="211">
        <f t="shared" si="143"/>
        <v>0</v>
      </c>
      <c r="CM18" s="211">
        <f t="shared" si="143"/>
        <v>340</v>
      </c>
      <c r="CN18" s="211">
        <f t="shared" si="143"/>
        <v>0</v>
      </c>
      <c r="CO18" s="427">
        <v>15</v>
      </c>
      <c r="CP18" s="211">
        <f t="shared" ref="CP18:CY18" si="144">CP17+AX18</f>
        <v>68</v>
      </c>
      <c r="CQ18" s="211">
        <f t="shared" si="144"/>
        <v>0</v>
      </c>
      <c r="CR18" s="211">
        <f t="shared" si="144"/>
        <v>340</v>
      </c>
      <c r="CS18" s="211">
        <f t="shared" si="144"/>
        <v>0</v>
      </c>
      <c r="CT18" s="211">
        <f t="shared" si="144"/>
        <v>1700</v>
      </c>
      <c r="CU18" s="211">
        <f t="shared" si="144"/>
        <v>0</v>
      </c>
      <c r="CV18" s="211">
        <f t="shared" si="144"/>
        <v>68</v>
      </c>
      <c r="CW18" s="211">
        <f t="shared" si="144"/>
        <v>0</v>
      </c>
      <c r="CX18" s="211">
        <f t="shared" si="144"/>
        <v>340</v>
      </c>
      <c r="CY18" s="211">
        <f t="shared" si="144"/>
        <v>0</v>
      </c>
      <c r="CZ18" s="421">
        <v>15</v>
      </c>
      <c r="DA18" s="24">
        <v>7000</v>
      </c>
      <c r="DB18" s="211">
        <f t="shared" si="13"/>
        <v>31600</v>
      </c>
      <c r="DC18" s="211"/>
      <c r="DD18" s="211">
        <f t="shared" si="14"/>
        <v>0</v>
      </c>
      <c r="DE18" s="211"/>
      <c r="DF18" s="211"/>
      <c r="DG18" s="211"/>
      <c r="DH18" s="265">
        <v>15</v>
      </c>
      <c r="DI18" s="230">
        <v>12500</v>
      </c>
      <c r="DJ18" s="211">
        <v>25000</v>
      </c>
      <c r="DK18" s="232">
        <v>50000</v>
      </c>
      <c r="DL18" s="265">
        <v>15</v>
      </c>
      <c r="DM18" s="230">
        <v>25000</v>
      </c>
      <c r="DN18" s="211">
        <v>37500</v>
      </c>
      <c r="DO18" s="232">
        <v>75000</v>
      </c>
      <c r="DP18" s="266">
        <v>15</v>
      </c>
      <c r="DQ18" s="211">
        <v>50000</v>
      </c>
      <c r="DR18" s="232">
        <v>100000</v>
      </c>
      <c r="DS18" s="265">
        <v>15</v>
      </c>
      <c r="DT18" s="211">
        <f t="shared" ref="DT18:DV18" si="145">DI18+DT17</f>
        <v>61000</v>
      </c>
      <c r="DU18" s="211">
        <f t="shared" si="145"/>
        <v>122000</v>
      </c>
      <c r="DV18" s="211">
        <f t="shared" si="145"/>
        <v>244000</v>
      </c>
      <c r="DW18" s="211">
        <f t="shared" ref="DW18:DY18" si="146">DM18+DW17</f>
        <v>122000</v>
      </c>
      <c r="DX18" s="211">
        <f t="shared" si="146"/>
        <v>183000</v>
      </c>
      <c r="DY18" s="211">
        <f t="shared" si="146"/>
        <v>366000</v>
      </c>
      <c r="DZ18" s="211">
        <v>0</v>
      </c>
      <c r="EA18" s="211">
        <f t="shared" ref="EA18:EB18" si="147">DQ18+EA17</f>
        <v>244000</v>
      </c>
      <c r="EB18" s="211">
        <f t="shared" si="147"/>
        <v>488000</v>
      </c>
      <c r="EC18" s="428">
        <v>15</v>
      </c>
      <c r="ED18" s="211"/>
      <c r="EE18" s="211">
        <f t="shared" si="18"/>
        <v>0</v>
      </c>
      <c r="EF18" s="211"/>
      <c r="EG18" s="211"/>
      <c r="EH18" s="211"/>
      <c r="EI18" s="211"/>
      <c r="EJ18" s="211"/>
      <c r="EK18" s="211"/>
      <c r="EL18" s="211"/>
      <c r="EM18" s="211"/>
      <c r="EN18" s="211"/>
    </row>
    <row r="19" spans="1:144" ht="15.75" customHeight="1" x14ac:dyDescent="0.2">
      <c r="A19" s="421">
        <v>16</v>
      </c>
      <c r="B19" s="211">
        <v>80</v>
      </c>
      <c r="C19" s="211">
        <f t="shared" si="4"/>
        <v>680</v>
      </c>
      <c r="D19" s="421">
        <v>16</v>
      </c>
      <c r="E19" s="211">
        <v>1044</v>
      </c>
      <c r="F19" s="211">
        <f t="shared" si="5"/>
        <v>6160</v>
      </c>
      <c r="G19" s="138" t="s">
        <v>350</v>
      </c>
      <c r="H19" s="129">
        <v>38200</v>
      </c>
      <c r="I19" s="129">
        <f t="shared" si="6"/>
        <v>245720</v>
      </c>
      <c r="J19" s="129">
        <v>4000</v>
      </c>
      <c r="K19" s="129">
        <f t="shared" si="7"/>
        <v>26704</v>
      </c>
      <c r="L19" s="441" t="s">
        <v>351</v>
      </c>
      <c r="M19" s="69">
        <v>60000</v>
      </c>
      <c r="N19" s="69">
        <f t="shared" si="20"/>
        <v>685000</v>
      </c>
      <c r="O19" s="69">
        <v>1500</v>
      </c>
      <c r="P19" s="69">
        <f t="shared" si="21"/>
        <v>17800</v>
      </c>
      <c r="Q19" s="8"/>
      <c r="R19" s="439"/>
      <c r="S19" s="426">
        <v>16</v>
      </c>
      <c r="T19" s="431">
        <v>7</v>
      </c>
      <c r="U19" s="432">
        <v>0</v>
      </c>
      <c r="V19" s="211">
        <v>28</v>
      </c>
      <c r="W19" s="211">
        <v>0</v>
      </c>
      <c r="X19" s="432">
        <v>140</v>
      </c>
      <c r="Y19" s="432">
        <v>0</v>
      </c>
      <c r="Z19" s="432">
        <v>6</v>
      </c>
      <c r="AA19" s="432">
        <v>0</v>
      </c>
      <c r="AB19" s="437">
        <v>30</v>
      </c>
      <c r="AC19" s="437">
        <v>0</v>
      </c>
      <c r="AD19" s="230">
        <v>9</v>
      </c>
      <c r="AE19" s="211">
        <v>0</v>
      </c>
      <c r="AF19" s="432">
        <v>36</v>
      </c>
      <c r="AG19" s="432">
        <v>0</v>
      </c>
      <c r="AH19" s="211">
        <v>180</v>
      </c>
      <c r="AI19" s="211">
        <v>0</v>
      </c>
      <c r="AJ19" s="69">
        <v>6</v>
      </c>
      <c r="AK19" s="69">
        <v>0</v>
      </c>
      <c r="AL19" s="435">
        <f t="shared" ref="AL19:AM19" si="148">AJ19*5</f>
        <v>30</v>
      </c>
      <c r="AM19" s="435">
        <f t="shared" si="148"/>
        <v>0</v>
      </c>
      <c r="AN19" s="211">
        <v>9</v>
      </c>
      <c r="AO19" s="211">
        <v>0</v>
      </c>
      <c r="AP19" s="432">
        <v>45</v>
      </c>
      <c r="AQ19" s="432">
        <v>0</v>
      </c>
      <c r="AR19" s="432">
        <v>225</v>
      </c>
      <c r="AS19" s="432">
        <v>0</v>
      </c>
      <c r="AT19" s="432">
        <v>9</v>
      </c>
      <c r="AU19" s="432">
        <v>0</v>
      </c>
      <c r="AV19" s="432">
        <v>45</v>
      </c>
      <c r="AW19" s="433">
        <v>0</v>
      </c>
      <c r="AX19" s="230">
        <v>9</v>
      </c>
      <c r="AY19" s="211">
        <v>0</v>
      </c>
      <c r="AZ19" s="432">
        <v>45</v>
      </c>
      <c r="BA19" s="432">
        <v>0</v>
      </c>
      <c r="BB19" s="432">
        <v>225</v>
      </c>
      <c r="BC19" s="432">
        <v>0</v>
      </c>
      <c r="BD19" s="432">
        <v>9</v>
      </c>
      <c r="BE19" s="432">
        <v>0</v>
      </c>
      <c r="BF19" s="432">
        <f t="shared" ref="BF19:BG19" si="149">BD19*5</f>
        <v>45</v>
      </c>
      <c r="BG19" s="433">
        <f t="shared" si="149"/>
        <v>0</v>
      </c>
      <c r="BH19" s="427">
        <v>16</v>
      </c>
      <c r="BI19" s="211">
        <f t="shared" ref="BI19:BR19" si="150">BI18+T19</f>
        <v>62</v>
      </c>
      <c r="BJ19" s="211">
        <f t="shared" si="150"/>
        <v>0</v>
      </c>
      <c r="BK19" s="211">
        <f t="shared" si="150"/>
        <v>248</v>
      </c>
      <c r="BL19" s="211">
        <f t="shared" si="150"/>
        <v>0</v>
      </c>
      <c r="BM19" s="211">
        <f t="shared" si="150"/>
        <v>1240</v>
      </c>
      <c r="BN19" s="211">
        <f t="shared" si="150"/>
        <v>0</v>
      </c>
      <c r="BO19" s="211">
        <f t="shared" si="150"/>
        <v>51</v>
      </c>
      <c r="BP19" s="211">
        <f t="shared" si="150"/>
        <v>0</v>
      </c>
      <c r="BQ19" s="211">
        <f t="shared" si="150"/>
        <v>255</v>
      </c>
      <c r="BR19" s="211">
        <f t="shared" si="150"/>
        <v>0</v>
      </c>
      <c r="BS19" s="427">
        <v>16</v>
      </c>
      <c r="BT19" s="211">
        <f t="shared" ref="BT19:CC19" si="151">BT18+AD19</f>
        <v>77</v>
      </c>
      <c r="BU19" s="211">
        <f t="shared" si="151"/>
        <v>0</v>
      </c>
      <c r="BV19" s="211">
        <f t="shared" si="151"/>
        <v>325</v>
      </c>
      <c r="BW19" s="211">
        <f t="shared" si="151"/>
        <v>0</v>
      </c>
      <c r="BX19" s="211">
        <f t="shared" si="151"/>
        <v>1625</v>
      </c>
      <c r="BY19" s="211">
        <f t="shared" si="151"/>
        <v>0</v>
      </c>
      <c r="BZ19" s="211">
        <f t="shared" si="151"/>
        <v>61</v>
      </c>
      <c r="CA19" s="211">
        <f t="shared" si="151"/>
        <v>0</v>
      </c>
      <c r="CB19" s="211">
        <f t="shared" si="151"/>
        <v>305</v>
      </c>
      <c r="CC19" s="211">
        <f t="shared" si="151"/>
        <v>0</v>
      </c>
      <c r="CD19" s="427">
        <v>16</v>
      </c>
      <c r="CE19" s="211">
        <f t="shared" ref="CE19:CN19" si="152">CE18+AN19</f>
        <v>77</v>
      </c>
      <c r="CF19" s="211">
        <f t="shared" si="152"/>
        <v>0</v>
      </c>
      <c r="CG19" s="211">
        <f t="shared" si="152"/>
        <v>385</v>
      </c>
      <c r="CH19" s="211">
        <f t="shared" si="152"/>
        <v>0</v>
      </c>
      <c r="CI19" s="211">
        <f t="shared" si="152"/>
        <v>1925</v>
      </c>
      <c r="CJ19" s="211">
        <f t="shared" si="152"/>
        <v>0</v>
      </c>
      <c r="CK19" s="211">
        <f t="shared" si="152"/>
        <v>77</v>
      </c>
      <c r="CL19" s="211">
        <f t="shared" si="152"/>
        <v>0</v>
      </c>
      <c r="CM19" s="211">
        <f t="shared" si="152"/>
        <v>385</v>
      </c>
      <c r="CN19" s="211">
        <f t="shared" si="152"/>
        <v>0</v>
      </c>
      <c r="CO19" s="427">
        <v>16</v>
      </c>
      <c r="CP19" s="211">
        <f t="shared" ref="CP19:CY19" si="153">CP18+AX19</f>
        <v>77</v>
      </c>
      <c r="CQ19" s="211">
        <f t="shared" si="153"/>
        <v>0</v>
      </c>
      <c r="CR19" s="211">
        <f t="shared" si="153"/>
        <v>385</v>
      </c>
      <c r="CS19" s="211">
        <f t="shared" si="153"/>
        <v>0</v>
      </c>
      <c r="CT19" s="211">
        <f t="shared" si="153"/>
        <v>1925</v>
      </c>
      <c r="CU19" s="211">
        <f t="shared" si="153"/>
        <v>0</v>
      </c>
      <c r="CV19" s="211">
        <f t="shared" si="153"/>
        <v>77</v>
      </c>
      <c r="CW19" s="211">
        <f t="shared" si="153"/>
        <v>0</v>
      </c>
      <c r="CX19" s="211">
        <f t="shared" si="153"/>
        <v>385</v>
      </c>
      <c r="CY19" s="211">
        <f t="shared" si="153"/>
        <v>0</v>
      </c>
      <c r="CZ19" s="421">
        <v>16</v>
      </c>
      <c r="DA19" s="24">
        <v>8000</v>
      </c>
      <c r="DB19" s="211">
        <f t="shared" si="13"/>
        <v>39600</v>
      </c>
      <c r="DC19" s="211"/>
      <c r="DD19" s="211">
        <f t="shared" si="14"/>
        <v>0</v>
      </c>
      <c r="DE19" s="211"/>
      <c r="DF19" s="211"/>
      <c r="DG19" s="211"/>
      <c r="DH19" s="265">
        <v>16</v>
      </c>
      <c r="DI19" s="230">
        <v>15000</v>
      </c>
      <c r="DJ19" s="211">
        <v>30000</v>
      </c>
      <c r="DK19" s="232">
        <v>60000</v>
      </c>
      <c r="DL19" s="265">
        <v>16</v>
      </c>
      <c r="DM19" s="230">
        <v>30000</v>
      </c>
      <c r="DN19" s="211">
        <v>45000</v>
      </c>
      <c r="DO19" s="232">
        <v>90000</v>
      </c>
      <c r="DP19" s="266">
        <v>16</v>
      </c>
      <c r="DQ19" s="211">
        <v>60000</v>
      </c>
      <c r="DR19" s="232">
        <v>120000</v>
      </c>
      <c r="DS19" s="265">
        <v>16</v>
      </c>
      <c r="DT19" s="211">
        <f t="shared" ref="DT19:DV19" si="154">DI19+DT18</f>
        <v>76000</v>
      </c>
      <c r="DU19" s="211">
        <f t="shared" si="154"/>
        <v>152000</v>
      </c>
      <c r="DV19" s="211">
        <f t="shared" si="154"/>
        <v>304000</v>
      </c>
      <c r="DW19" s="211">
        <f t="shared" ref="DW19:DY19" si="155">DM19+DW18</f>
        <v>152000</v>
      </c>
      <c r="DX19" s="211">
        <f t="shared" si="155"/>
        <v>228000</v>
      </c>
      <c r="DY19" s="211">
        <f t="shared" si="155"/>
        <v>456000</v>
      </c>
      <c r="DZ19" s="211">
        <v>0</v>
      </c>
      <c r="EA19" s="211">
        <f t="shared" ref="EA19:EB19" si="156">DQ19+EA18</f>
        <v>304000</v>
      </c>
      <c r="EB19" s="211">
        <f t="shared" si="156"/>
        <v>608000</v>
      </c>
      <c r="EC19" s="428">
        <v>16</v>
      </c>
      <c r="ED19" s="211"/>
      <c r="EE19" s="211">
        <f t="shared" si="18"/>
        <v>0</v>
      </c>
      <c r="EF19" s="211"/>
      <c r="EG19" s="211"/>
      <c r="EH19" s="211"/>
      <c r="EI19" s="211"/>
      <c r="EJ19" s="211"/>
      <c r="EK19" s="211"/>
      <c r="EL19" s="211"/>
      <c r="EM19" s="211"/>
      <c r="EN19" s="211"/>
    </row>
    <row r="20" spans="1:144" ht="15.75" customHeight="1" x14ac:dyDescent="0.2">
      <c r="A20" s="421">
        <v>17</v>
      </c>
      <c r="B20" s="211">
        <v>85</v>
      </c>
      <c r="C20" s="211">
        <f t="shared" si="4"/>
        <v>765</v>
      </c>
      <c r="D20" s="421">
        <v>17</v>
      </c>
      <c r="E20" s="211">
        <v>1182</v>
      </c>
      <c r="F20" s="211">
        <f t="shared" si="5"/>
        <v>7342</v>
      </c>
      <c r="G20" s="138" t="s">
        <v>352</v>
      </c>
      <c r="H20" s="122">
        <v>41200</v>
      </c>
      <c r="I20" s="122">
        <f t="shared" si="6"/>
        <v>286920</v>
      </c>
      <c r="J20" s="122">
        <v>4000</v>
      </c>
      <c r="K20" s="122">
        <f t="shared" si="7"/>
        <v>30704</v>
      </c>
      <c r="L20" s="441" t="s">
        <v>353</v>
      </c>
      <c r="M20" s="69">
        <v>60000</v>
      </c>
      <c r="N20" s="69">
        <f t="shared" si="20"/>
        <v>745000</v>
      </c>
      <c r="O20" s="69">
        <v>1500</v>
      </c>
      <c r="P20" s="69">
        <f t="shared" si="21"/>
        <v>19300</v>
      </c>
      <c r="Q20" s="8"/>
      <c r="R20" s="439"/>
      <c r="S20" s="426">
        <v>17</v>
      </c>
      <c r="T20" s="431">
        <v>7</v>
      </c>
      <c r="U20" s="432">
        <v>0</v>
      </c>
      <c r="V20" s="211">
        <v>28</v>
      </c>
      <c r="W20" s="211">
        <v>0</v>
      </c>
      <c r="X20" s="432">
        <v>140</v>
      </c>
      <c r="Y20" s="432">
        <v>0</v>
      </c>
      <c r="Z20" s="432">
        <v>6</v>
      </c>
      <c r="AA20" s="432">
        <v>0</v>
      </c>
      <c r="AB20" s="432">
        <v>30</v>
      </c>
      <c r="AC20" s="432">
        <v>0</v>
      </c>
      <c r="AD20" s="230">
        <v>9</v>
      </c>
      <c r="AE20" s="211">
        <v>0</v>
      </c>
      <c r="AF20" s="432">
        <v>36</v>
      </c>
      <c r="AG20" s="432">
        <v>0</v>
      </c>
      <c r="AH20" s="211">
        <v>180</v>
      </c>
      <c r="AI20" s="211">
        <v>0</v>
      </c>
      <c r="AJ20" s="69">
        <v>8</v>
      </c>
      <c r="AK20" s="69">
        <v>0</v>
      </c>
      <c r="AL20" s="435">
        <f t="shared" ref="AL20:AM20" si="157">AJ20*5</f>
        <v>40</v>
      </c>
      <c r="AM20" s="435">
        <f t="shared" si="157"/>
        <v>0</v>
      </c>
      <c r="AN20" s="211">
        <v>9</v>
      </c>
      <c r="AO20" s="211">
        <v>0</v>
      </c>
      <c r="AP20" s="432">
        <v>45</v>
      </c>
      <c r="AQ20" s="432">
        <v>0</v>
      </c>
      <c r="AR20" s="432">
        <v>225</v>
      </c>
      <c r="AS20" s="432">
        <v>0</v>
      </c>
      <c r="AT20" s="432">
        <v>9</v>
      </c>
      <c r="AU20" s="432">
        <v>0</v>
      </c>
      <c r="AV20" s="432">
        <v>45</v>
      </c>
      <c r="AW20" s="433">
        <v>0</v>
      </c>
      <c r="AX20" s="230">
        <v>9</v>
      </c>
      <c r="AY20" s="211">
        <v>0</v>
      </c>
      <c r="AZ20" s="432">
        <v>45</v>
      </c>
      <c r="BA20" s="432">
        <v>0</v>
      </c>
      <c r="BB20" s="432">
        <v>225</v>
      </c>
      <c r="BC20" s="432">
        <v>0</v>
      </c>
      <c r="BD20" s="432">
        <v>9</v>
      </c>
      <c r="BE20" s="432">
        <v>0</v>
      </c>
      <c r="BF20" s="432">
        <f t="shared" ref="BF20:BG20" si="158">BD20*5</f>
        <v>45</v>
      </c>
      <c r="BG20" s="433">
        <f t="shared" si="158"/>
        <v>0</v>
      </c>
      <c r="BH20" s="427">
        <v>17</v>
      </c>
      <c r="BI20" s="211">
        <f t="shared" ref="BI20:BR20" si="159">BI19+T20</f>
        <v>69</v>
      </c>
      <c r="BJ20" s="211">
        <f t="shared" si="159"/>
        <v>0</v>
      </c>
      <c r="BK20" s="211">
        <f t="shared" si="159"/>
        <v>276</v>
      </c>
      <c r="BL20" s="211">
        <f t="shared" si="159"/>
        <v>0</v>
      </c>
      <c r="BM20" s="211">
        <f t="shared" si="159"/>
        <v>1380</v>
      </c>
      <c r="BN20" s="211">
        <f t="shared" si="159"/>
        <v>0</v>
      </c>
      <c r="BO20" s="211">
        <f t="shared" si="159"/>
        <v>57</v>
      </c>
      <c r="BP20" s="211">
        <f t="shared" si="159"/>
        <v>0</v>
      </c>
      <c r="BQ20" s="211">
        <f t="shared" si="159"/>
        <v>285</v>
      </c>
      <c r="BR20" s="211">
        <f t="shared" si="159"/>
        <v>0</v>
      </c>
      <c r="BS20" s="427">
        <v>17</v>
      </c>
      <c r="BT20" s="211">
        <f t="shared" ref="BT20:CC20" si="160">BT19+AD20</f>
        <v>86</v>
      </c>
      <c r="BU20" s="211">
        <f t="shared" si="160"/>
        <v>0</v>
      </c>
      <c r="BV20" s="211">
        <f t="shared" si="160"/>
        <v>361</v>
      </c>
      <c r="BW20" s="211">
        <f t="shared" si="160"/>
        <v>0</v>
      </c>
      <c r="BX20" s="211">
        <f t="shared" si="160"/>
        <v>1805</v>
      </c>
      <c r="BY20" s="211">
        <f t="shared" si="160"/>
        <v>0</v>
      </c>
      <c r="BZ20" s="211">
        <f t="shared" si="160"/>
        <v>69</v>
      </c>
      <c r="CA20" s="211">
        <f t="shared" si="160"/>
        <v>0</v>
      </c>
      <c r="CB20" s="211">
        <f t="shared" si="160"/>
        <v>345</v>
      </c>
      <c r="CC20" s="211">
        <f t="shared" si="160"/>
        <v>0</v>
      </c>
      <c r="CD20" s="427">
        <v>17</v>
      </c>
      <c r="CE20" s="211">
        <f t="shared" ref="CE20:CN20" si="161">CE19+AN20</f>
        <v>86</v>
      </c>
      <c r="CF20" s="211">
        <f t="shared" si="161"/>
        <v>0</v>
      </c>
      <c r="CG20" s="211">
        <f t="shared" si="161"/>
        <v>430</v>
      </c>
      <c r="CH20" s="211">
        <f t="shared" si="161"/>
        <v>0</v>
      </c>
      <c r="CI20" s="211">
        <f t="shared" si="161"/>
        <v>2150</v>
      </c>
      <c r="CJ20" s="211">
        <f t="shared" si="161"/>
        <v>0</v>
      </c>
      <c r="CK20" s="211">
        <f t="shared" si="161"/>
        <v>86</v>
      </c>
      <c r="CL20" s="211">
        <f t="shared" si="161"/>
        <v>0</v>
      </c>
      <c r="CM20" s="211">
        <f t="shared" si="161"/>
        <v>430</v>
      </c>
      <c r="CN20" s="211">
        <f t="shared" si="161"/>
        <v>0</v>
      </c>
      <c r="CO20" s="427">
        <v>17</v>
      </c>
      <c r="CP20" s="211">
        <f t="shared" ref="CP20:CY20" si="162">CP19+AX20</f>
        <v>86</v>
      </c>
      <c r="CQ20" s="211">
        <f t="shared" si="162"/>
        <v>0</v>
      </c>
      <c r="CR20" s="211">
        <f t="shared" si="162"/>
        <v>430</v>
      </c>
      <c r="CS20" s="211">
        <f t="shared" si="162"/>
        <v>0</v>
      </c>
      <c r="CT20" s="211">
        <f t="shared" si="162"/>
        <v>2150</v>
      </c>
      <c r="CU20" s="211">
        <f t="shared" si="162"/>
        <v>0</v>
      </c>
      <c r="CV20" s="211">
        <f t="shared" si="162"/>
        <v>86</v>
      </c>
      <c r="CW20" s="211">
        <f t="shared" si="162"/>
        <v>0</v>
      </c>
      <c r="CX20" s="211">
        <f t="shared" si="162"/>
        <v>430</v>
      </c>
      <c r="CY20" s="211">
        <f t="shared" si="162"/>
        <v>0</v>
      </c>
      <c r="CZ20" s="421">
        <v>17</v>
      </c>
      <c r="DA20" s="24">
        <v>9000</v>
      </c>
      <c r="DB20" s="211">
        <f t="shared" si="13"/>
        <v>48600</v>
      </c>
      <c r="DC20" s="211"/>
      <c r="DD20" s="211">
        <f t="shared" si="14"/>
        <v>0</v>
      </c>
      <c r="DE20" s="211"/>
      <c r="DF20" s="211"/>
      <c r="DG20" s="211"/>
      <c r="DH20" s="265">
        <v>17</v>
      </c>
      <c r="DI20" s="230">
        <v>18000</v>
      </c>
      <c r="DJ20" s="211">
        <v>36000</v>
      </c>
      <c r="DK20" s="232">
        <v>72000</v>
      </c>
      <c r="DL20" s="265">
        <v>17</v>
      </c>
      <c r="DM20" s="230">
        <v>36000</v>
      </c>
      <c r="DN20" s="211">
        <v>54000</v>
      </c>
      <c r="DO20" s="232">
        <v>108000</v>
      </c>
      <c r="DP20" s="266">
        <v>17</v>
      </c>
      <c r="DQ20" s="211">
        <v>72000</v>
      </c>
      <c r="DR20" s="232">
        <v>144000</v>
      </c>
      <c r="DS20" s="265">
        <v>17</v>
      </c>
      <c r="DT20" s="211">
        <f t="shared" ref="DT20:DV20" si="163">DI20+DT19</f>
        <v>94000</v>
      </c>
      <c r="DU20" s="211">
        <f t="shared" si="163"/>
        <v>188000</v>
      </c>
      <c r="DV20" s="211">
        <f t="shared" si="163"/>
        <v>376000</v>
      </c>
      <c r="DW20" s="211">
        <f t="shared" ref="DW20:DY20" si="164">DM20+DW19</f>
        <v>188000</v>
      </c>
      <c r="DX20" s="211">
        <f t="shared" si="164"/>
        <v>282000</v>
      </c>
      <c r="DY20" s="211">
        <f t="shared" si="164"/>
        <v>564000</v>
      </c>
      <c r="DZ20" s="211">
        <v>0</v>
      </c>
      <c r="EA20" s="211">
        <f t="shared" ref="EA20:EB20" si="165">DQ20+EA19</f>
        <v>376000</v>
      </c>
      <c r="EB20" s="211">
        <f t="shared" si="165"/>
        <v>752000</v>
      </c>
      <c r="EC20" s="428">
        <v>17</v>
      </c>
      <c r="ED20" s="211"/>
      <c r="EE20" s="211">
        <f t="shared" si="18"/>
        <v>0</v>
      </c>
      <c r="EF20" s="211"/>
      <c r="EG20" s="211"/>
      <c r="EH20" s="211"/>
      <c r="EI20" s="211"/>
      <c r="EJ20" s="211"/>
      <c r="EK20" s="211"/>
      <c r="EL20" s="211"/>
      <c r="EM20" s="211"/>
      <c r="EN20" s="211"/>
    </row>
    <row r="21" spans="1:144" ht="15.75" customHeight="1" x14ac:dyDescent="0.2">
      <c r="A21" s="421">
        <v>18</v>
      </c>
      <c r="B21" s="211">
        <v>90</v>
      </c>
      <c r="C21" s="211">
        <f t="shared" si="4"/>
        <v>855</v>
      </c>
      <c r="D21" s="421">
        <v>18</v>
      </c>
      <c r="E21" s="211">
        <v>1328</v>
      </c>
      <c r="F21" s="211">
        <f t="shared" si="5"/>
        <v>8670</v>
      </c>
      <c r="G21" s="138" t="s">
        <v>354</v>
      </c>
      <c r="H21" s="122">
        <v>44200</v>
      </c>
      <c r="I21" s="122">
        <f t="shared" si="6"/>
        <v>331120</v>
      </c>
      <c r="J21" s="122">
        <v>4000</v>
      </c>
      <c r="K21" s="122">
        <f t="shared" si="7"/>
        <v>34704</v>
      </c>
      <c r="L21" s="145" t="s">
        <v>355</v>
      </c>
      <c r="M21" s="69">
        <v>60000</v>
      </c>
      <c r="N21" s="69">
        <f t="shared" si="20"/>
        <v>805000</v>
      </c>
      <c r="O21" s="69">
        <v>1500</v>
      </c>
      <c r="P21" s="69">
        <f t="shared" si="21"/>
        <v>20800</v>
      </c>
      <c r="Q21" s="8"/>
      <c r="R21" s="439"/>
      <c r="S21" s="426">
        <v>18</v>
      </c>
      <c r="T21" s="431">
        <v>7</v>
      </c>
      <c r="U21" s="432">
        <v>0</v>
      </c>
      <c r="V21" s="211">
        <v>28</v>
      </c>
      <c r="W21" s="211">
        <v>0</v>
      </c>
      <c r="X21" s="432">
        <v>140</v>
      </c>
      <c r="Y21" s="432">
        <v>0</v>
      </c>
      <c r="Z21" s="211">
        <v>6</v>
      </c>
      <c r="AA21" s="211">
        <v>0</v>
      </c>
      <c r="AB21" s="432">
        <v>30</v>
      </c>
      <c r="AC21" s="432">
        <v>0</v>
      </c>
      <c r="AD21" s="230">
        <v>9</v>
      </c>
      <c r="AE21" s="211">
        <v>0</v>
      </c>
      <c r="AF21" s="432">
        <v>40</v>
      </c>
      <c r="AG21" s="432">
        <v>0</v>
      </c>
      <c r="AH21" s="211">
        <v>200</v>
      </c>
      <c r="AI21" s="211">
        <v>0</v>
      </c>
      <c r="AJ21" s="69">
        <v>8</v>
      </c>
      <c r="AK21" s="69">
        <v>0</v>
      </c>
      <c r="AL21" s="435">
        <f t="shared" ref="AL21:AM21" si="166">AJ21*5</f>
        <v>40</v>
      </c>
      <c r="AM21" s="435">
        <f t="shared" si="166"/>
        <v>0</v>
      </c>
      <c r="AN21" s="211">
        <v>9</v>
      </c>
      <c r="AO21" s="211">
        <v>0</v>
      </c>
      <c r="AP21" s="432">
        <v>45</v>
      </c>
      <c r="AQ21" s="432">
        <v>0</v>
      </c>
      <c r="AR21" s="432">
        <v>225</v>
      </c>
      <c r="AS21" s="432">
        <v>0</v>
      </c>
      <c r="AT21" s="432">
        <v>9</v>
      </c>
      <c r="AU21" s="432">
        <v>0</v>
      </c>
      <c r="AV21" s="432">
        <v>45</v>
      </c>
      <c r="AW21" s="433">
        <v>0</v>
      </c>
      <c r="AX21" s="230">
        <v>9</v>
      </c>
      <c r="AY21" s="211">
        <v>0</v>
      </c>
      <c r="AZ21" s="432">
        <v>45</v>
      </c>
      <c r="BA21" s="432">
        <v>0</v>
      </c>
      <c r="BB21" s="432">
        <v>225</v>
      </c>
      <c r="BC21" s="432">
        <v>0</v>
      </c>
      <c r="BD21" s="432">
        <v>9</v>
      </c>
      <c r="BE21" s="432">
        <v>0</v>
      </c>
      <c r="BF21" s="432">
        <f t="shared" ref="BF21:BG21" si="167">BD21*5</f>
        <v>45</v>
      </c>
      <c r="BG21" s="433">
        <f t="shared" si="167"/>
        <v>0</v>
      </c>
      <c r="BH21" s="427">
        <v>18</v>
      </c>
      <c r="BI21" s="211">
        <f t="shared" ref="BI21:BR21" si="168">BI20+T21</f>
        <v>76</v>
      </c>
      <c r="BJ21" s="211">
        <f t="shared" si="168"/>
        <v>0</v>
      </c>
      <c r="BK21" s="211">
        <f t="shared" si="168"/>
        <v>304</v>
      </c>
      <c r="BL21" s="211">
        <f t="shared" si="168"/>
        <v>0</v>
      </c>
      <c r="BM21" s="211">
        <f t="shared" si="168"/>
        <v>1520</v>
      </c>
      <c r="BN21" s="211">
        <f t="shared" si="168"/>
        <v>0</v>
      </c>
      <c r="BO21" s="211">
        <f t="shared" si="168"/>
        <v>63</v>
      </c>
      <c r="BP21" s="211">
        <f t="shared" si="168"/>
        <v>0</v>
      </c>
      <c r="BQ21" s="211">
        <f t="shared" si="168"/>
        <v>315</v>
      </c>
      <c r="BR21" s="211">
        <f t="shared" si="168"/>
        <v>0</v>
      </c>
      <c r="BS21" s="427">
        <v>18</v>
      </c>
      <c r="BT21" s="211">
        <f t="shared" ref="BT21:CC21" si="169">BT20+AD21</f>
        <v>95</v>
      </c>
      <c r="BU21" s="211">
        <f t="shared" si="169"/>
        <v>0</v>
      </c>
      <c r="BV21" s="211">
        <f t="shared" si="169"/>
        <v>401</v>
      </c>
      <c r="BW21" s="211">
        <f t="shared" si="169"/>
        <v>0</v>
      </c>
      <c r="BX21" s="211">
        <f t="shared" si="169"/>
        <v>2005</v>
      </c>
      <c r="BY21" s="211">
        <f t="shared" si="169"/>
        <v>0</v>
      </c>
      <c r="BZ21" s="211">
        <f t="shared" si="169"/>
        <v>77</v>
      </c>
      <c r="CA21" s="211">
        <f t="shared" si="169"/>
        <v>0</v>
      </c>
      <c r="CB21" s="211">
        <f t="shared" si="169"/>
        <v>385</v>
      </c>
      <c r="CC21" s="211">
        <f t="shared" si="169"/>
        <v>0</v>
      </c>
      <c r="CD21" s="427">
        <v>18</v>
      </c>
      <c r="CE21" s="211">
        <f t="shared" ref="CE21:CN21" si="170">CE20+AN21</f>
        <v>95</v>
      </c>
      <c r="CF21" s="211">
        <f t="shared" si="170"/>
        <v>0</v>
      </c>
      <c r="CG21" s="211">
        <f t="shared" si="170"/>
        <v>475</v>
      </c>
      <c r="CH21" s="211">
        <f t="shared" si="170"/>
        <v>0</v>
      </c>
      <c r="CI21" s="211">
        <f t="shared" si="170"/>
        <v>2375</v>
      </c>
      <c r="CJ21" s="211">
        <f t="shared" si="170"/>
        <v>0</v>
      </c>
      <c r="CK21" s="211">
        <f t="shared" si="170"/>
        <v>95</v>
      </c>
      <c r="CL21" s="211">
        <f t="shared" si="170"/>
        <v>0</v>
      </c>
      <c r="CM21" s="211">
        <f t="shared" si="170"/>
        <v>475</v>
      </c>
      <c r="CN21" s="211">
        <f t="shared" si="170"/>
        <v>0</v>
      </c>
      <c r="CO21" s="427">
        <v>18</v>
      </c>
      <c r="CP21" s="211">
        <f t="shared" ref="CP21:CY21" si="171">CP20+AX21</f>
        <v>95</v>
      </c>
      <c r="CQ21" s="211">
        <f t="shared" si="171"/>
        <v>0</v>
      </c>
      <c r="CR21" s="211">
        <f t="shared" si="171"/>
        <v>475</v>
      </c>
      <c r="CS21" s="211">
        <f t="shared" si="171"/>
        <v>0</v>
      </c>
      <c r="CT21" s="211">
        <f t="shared" si="171"/>
        <v>2375</v>
      </c>
      <c r="CU21" s="211">
        <f t="shared" si="171"/>
        <v>0</v>
      </c>
      <c r="CV21" s="211">
        <f t="shared" si="171"/>
        <v>95</v>
      </c>
      <c r="CW21" s="211">
        <f t="shared" si="171"/>
        <v>0</v>
      </c>
      <c r="CX21" s="211">
        <f t="shared" si="171"/>
        <v>475</v>
      </c>
      <c r="CY21" s="211">
        <f t="shared" si="171"/>
        <v>0</v>
      </c>
      <c r="CZ21" s="421">
        <v>18</v>
      </c>
      <c r="DA21" s="24">
        <v>10000</v>
      </c>
      <c r="DB21" s="211">
        <f t="shared" si="13"/>
        <v>58600</v>
      </c>
      <c r="DC21" s="211"/>
      <c r="DD21" s="211">
        <f t="shared" si="14"/>
        <v>0</v>
      </c>
      <c r="DE21" s="211"/>
      <c r="DF21" s="211"/>
      <c r="DG21" s="211"/>
      <c r="DH21" s="265">
        <v>18</v>
      </c>
      <c r="DI21" s="230">
        <v>21000</v>
      </c>
      <c r="DJ21" s="211">
        <v>42000</v>
      </c>
      <c r="DK21" s="232">
        <v>84000</v>
      </c>
      <c r="DL21" s="265">
        <v>18</v>
      </c>
      <c r="DM21" s="230">
        <v>42000</v>
      </c>
      <c r="DN21" s="211">
        <v>63000</v>
      </c>
      <c r="DO21" s="232">
        <v>126000</v>
      </c>
      <c r="DP21" s="266">
        <v>18</v>
      </c>
      <c r="DQ21" s="211">
        <v>84000</v>
      </c>
      <c r="DR21" s="232">
        <v>168000</v>
      </c>
      <c r="DS21" s="265">
        <v>18</v>
      </c>
      <c r="DT21" s="211">
        <f t="shared" ref="DT21:DV21" si="172">DI21+DT20</f>
        <v>115000</v>
      </c>
      <c r="DU21" s="211">
        <f t="shared" si="172"/>
        <v>230000</v>
      </c>
      <c r="DV21" s="211">
        <f t="shared" si="172"/>
        <v>460000</v>
      </c>
      <c r="DW21" s="211">
        <f t="shared" ref="DW21:DY21" si="173">DM21+DW20</f>
        <v>230000</v>
      </c>
      <c r="DX21" s="211">
        <f t="shared" si="173"/>
        <v>345000</v>
      </c>
      <c r="DY21" s="211">
        <f t="shared" si="173"/>
        <v>690000</v>
      </c>
      <c r="DZ21" s="211">
        <v>0</v>
      </c>
      <c r="EA21" s="211">
        <f t="shared" ref="EA21:EB21" si="174">DQ21+EA20</f>
        <v>460000</v>
      </c>
      <c r="EB21" s="211">
        <f t="shared" si="174"/>
        <v>920000</v>
      </c>
      <c r="EC21" s="428">
        <v>18</v>
      </c>
      <c r="ED21" s="211"/>
      <c r="EE21" s="211">
        <f t="shared" si="18"/>
        <v>0</v>
      </c>
      <c r="EF21" s="211"/>
      <c r="EG21" s="211"/>
      <c r="EH21" s="211"/>
      <c r="EI21" s="211"/>
      <c r="EJ21" s="211"/>
      <c r="EK21" s="211"/>
      <c r="EL21" s="211"/>
      <c r="EM21" s="211"/>
      <c r="EN21" s="211"/>
    </row>
    <row r="22" spans="1:144" ht="15.75" customHeight="1" x14ac:dyDescent="0.2">
      <c r="A22" s="421">
        <v>19</v>
      </c>
      <c r="B22" s="211">
        <v>95</v>
      </c>
      <c r="C22" s="211">
        <f t="shared" si="4"/>
        <v>950</v>
      </c>
      <c r="D22" s="421">
        <v>19</v>
      </c>
      <c r="E22" s="211">
        <v>1484</v>
      </c>
      <c r="F22" s="211">
        <f t="shared" si="5"/>
        <v>10154</v>
      </c>
      <c r="G22" s="138" t="s">
        <v>356</v>
      </c>
      <c r="H22" s="122">
        <v>47200</v>
      </c>
      <c r="I22" s="122">
        <f t="shared" si="6"/>
        <v>378320</v>
      </c>
      <c r="J22" s="122">
        <v>4000</v>
      </c>
      <c r="K22" s="122">
        <f t="shared" si="7"/>
        <v>38704</v>
      </c>
      <c r="L22" s="145" t="s">
        <v>357</v>
      </c>
      <c r="M22" s="173">
        <v>120000</v>
      </c>
      <c r="N22" s="173">
        <f t="shared" si="20"/>
        <v>925000</v>
      </c>
      <c r="O22" s="173">
        <v>2000</v>
      </c>
      <c r="P22" s="173">
        <f t="shared" si="21"/>
        <v>22800</v>
      </c>
      <c r="Q22" s="8"/>
      <c r="R22" s="439"/>
      <c r="S22" s="426">
        <v>19</v>
      </c>
      <c r="T22" s="431">
        <v>8</v>
      </c>
      <c r="U22" s="432">
        <v>0</v>
      </c>
      <c r="V22" s="211">
        <v>32</v>
      </c>
      <c r="W22" s="211">
        <v>0</v>
      </c>
      <c r="X22" s="432">
        <v>160</v>
      </c>
      <c r="Y22" s="432">
        <v>0</v>
      </c>
      <c r="Z22" s="432">
        <v>6</v>
      </c>
      <c r="AA22" s="432">
        <v>0</v>
      </c>
      <c r="AB22" s="432">
        <v>30</v>
      </c>
      <c r="AC22" s="432">
        <v>0</v>
      </c>
      <c r="AD22" s="230">
        <v>11</v>
      </c>
      <c r="AE22" s="211">
        <v>0</v>
      </c>
      <c r="AF22" s="211">
        <v>40</v>
      </c>
      <c r="AG22" s="211">
        <v>0</v>
      </c>
      <c r="AH22" s="211">
        <v>200</v>
      </c>
      <c r="AI22" s="211">
        <v>0</v>
      </c>
      <c r="AJ22" s="69">
        <v>8</v>
      </c>
      <c r="AK22" s="69">
        <v>0</v>
      </c>
      <c r="AL22" s="435">
        <f t="shared" ref="AL22:AM22" si="175">AJ22*5</f>
        <v>40</v>
      </c>
      <c r="AM22" s="435">
        <f t="shared" si="175"/>
        <v>0</v>
      </c>
      <c r="AN22" s="211">
        <v>11</v>
      </c>
      <c r="AO22" s="211">
        <v>0</v>
      </c>
      <c r="AP22" s="432">
        <v>55</v>
      </c>
      <c r="AQ22" s="432">
        <v>0</v>
      </c>
      <c r="AR22" s="432">
        <v>275</v>
      </c>
      <c r="AS22" s="432">
        <v>0</v>
      </c>
      <c r="AT22" s="211">
        <v>11</v>
      </c>
      <c r="AU22" s="211">
        <v>0</v>
      </c>
      <c r="AV22" s="432">
        <v>55</v>
      </c>
      <c r="AW22" s="433">
        <v>0</v>
      </c>
      <c r="AX22" s="230">
        <v>11</v>
      </c>
      <c r="AY22" s="211">
        <v>0</v>
      </c>
      <c r="AZ22" s="432">
        <v>55</v>
      </c>
      <c r="BA22" s="432">
        <v>0</v>
      </c>
      <c r="BB22" s="432">
        <v>275</v>
      </c>
      <c r="BC22" s="432">
        <v>0</v>
      </c>
      <c r="BD22" s="432">
        <v>11</v>
      </c>
      <c r="BE22" s="432">
        <v>0</v>
      </c>
      <c r="BF22" s="432">
        <f t="shared" ref="BF22:BG22" si="176">BD22*5</f>
        <v>55</v>
      </c>
      <c r="BG22" s="433">
        <f t="shared" si="176"/>
        <v>0</v>
      </c>
      <c r="BH22" s="427">
        <v>19</v>
      </c>
      <c r="BI22" s="211">
        <f t="shared" ref="BI22:BR22" si="177">BI21+T22</f>
        <v>84</v>
      </c>
      <c r="BJ22" s="211">
        <f t="shared" si="177"/>
        <v>0</v>
      </c>
      <c r="BK22" s="211">
        <f t="shared" si="177"/>
        <v>336</v>
      </c>
      <c r="BL22" s="211">
        <f t="shared" si="177"/>
        <v>0</v>
      </c>
      <c r="BM22" s="211">
        <f t="shared" si="177"/>
        <v>1680</v>
      </c>
      <c r="BN22" s="211">
        <f t="shared" si="177"/>
        <v>0</v>
      </c>
      <c r="BO22" s="211">
        <f t="shared" si="177"/>
        <v>69</v>
      </c>
      <c r="BP22" s="211">
        <f t="shared" si="177"/>
        <v>0</v>
      </c>
      <c r="BQ22" s="211">
        <f t="shared" si="177"/>
        <v>345</v>
      </c>
      <c r="BR22" s="211">
        <f t="shared" si="177"/>
        <v>0</v>
      </c>
      <c r="BS22" s="427">
        <v>19</v>
      </c>
      <c r="BT22" s="211">
        <f t="shared" ref="BT22:CC22" si="178">BT21+AD22</f>
        <v>106</v>
      </c>
      <c r="BU22" s="211">
        <f t="shared" si="178"/>
        <v>0</v>
      </c>
      <c r="BV22" s="211">
        <f t="shared" si="178"/>
        <v>441</v>
      </c>
      <c r="BW22" s="211">
        <f t="shared" si="178"/>
        <v>0</v>
      </c>
      <c r="BX22" s="211">
        <f t="shared" si="178"/>
        <v>2205</v>
      </c>
      <c r="BY22" s="211">
        <f t="shared" si="178"/>
        <v>0</v>
      </c>
      <c r="BZ22" s="211">
        <f t="shared" si="178"/>
        <v>85</v>
      </c>
      <c r="CA22" s="211">
        <f t="shared" si="178"/>
        <v>0</v>
      </c>
      <c r="CB22" s="211">
        <f t="shared" si="178"/>
        <v>425</v>
      </c>
      <c r="CC22" s="211">
        <f t="shared" si="178"/>
        <v>0</v>
      </c>
      <c r="CD22" s="427">
        <v>19</v>
      </c>
      <c r="CE22" s="211">
        <f t="shared" ref="CE22:CN22" si="179">CE21+AN22</f>
        <v>106</v>
      </c>
      <c r="CF22" s="211">
        <f t="shared" si="179"/>
        <v>0</v>
      </c>
      <c r="CG22" s="211">
        <f t="shared" si="179"/>
        <v>530</v>
      </c>
      <c r="CH22" s="211">
        <f t="shared" si="179"/>
        <v>0</v>
      </c>
      <c r="CI22" s="211">
        <f t="shared" si="179"/>
        <v>2650</v>
      </c>
      <c r="CJ22" s="211">
        <f t="shared" si="179"/>
        <v>0</v>
      </c>
      <c r="CK22" s="211">
        <f t="shared" si="179"/>
        <v>106</v>
      </c>
      <c r="CL22" s="211">
        <f t="shared" si="179"/>
        <v>0</v>
      </c>
      <c r="CM22" s="211">
        <f t="shared" si="179"/>
        <v>530</v>
      </c>
      <c r="CN22" s="211">
        <f t="shared" si="179"/>
        <v>0</v>
      </c>
      <c r="CO22" s="427">
        <v>19</v>
      </c>
      <c r="CP22" s="211">
        <f t="shared" ref="CP22:CY22" si="180">CP21+AX22</f>
        <v>106</v>
      </c>
      <c r="CQ22" s="211">
        <f t="shared" si="180"/>
        <v>0</v>
      </c>
      <c r="CR22" s="211">
        <f t="shared" si="180"/>
        <v>530</v>
      </c>
      <c r="CS22" s="211">
        <f t="shared" si="180"/>
        <v>0</v>
      </c>
      <c r="CT22" s="211">
        <f t="shared" si="180"/>
        <v>2650</v>
      </c>
      <c r="CU22" s="211">
        <f t="shared" si="180"/>
        <v>0</v>
      </c>
      <c r="CV22" s="211">
        <f t="shared" si="180"/>
        <v>106</v>
      </c>
      <c r="CW22" s="211">
        <f t="shared" si="180"/>
        <v>0</v>
      </c>
      <c r="CX22" s="211">
        <f t="shared" si="180"/>
        <v>530</v>
      </c>
      <c r="CY22" s="211">
        <f t="shared" si="180"/>
        <v>0</v>
      </c>
      <c r="CZ22" s="421">
        <v>19</v>
      </c>
      <c r="DA22" s="24">
        <v>12000</v>
      </c>
      <c r="DB22" s="211">
        <f t="shared" si="13"/>
        <v>70600</v>
      </c>
      <c r="DC22" s="211"/>
      <c r="DD22" s="211">
        <f t="shared" si="14"/>
        <v>0</v>
      </c>
      <c r="DE22" s="211"/>
      <c r="DF22" s="211"/>
      <c r="DG22" s="211"/>
      <c r="DH22" s="265">
        <v>19</v>
      </c>
      <c r="DI22" s="230">
        <v>24000</v>
      </c>
      <c r="DJ22" s="211">
        <v>48000</v>
      </c>
      <c r="DK22" s="232">
        <v>96000</v>
      </c>
      <c r="DL22" s="265">
        <v>19</v>
      </c>
      <c r="DM22" s="230">
        <v>48000</v>
      </c>
      <c r="DN22" s="211">
        <v>72000</v>
      </c>
      <c r="DO22" s="232">
        <v>144000</v>
      </c>
      <c r="DP22" s="266">
        <v>19</v>
      </c>
      <c r="DQ22" s="211">
        <v>96000</v>
      </c>
      <c r="DR22" s="232">
        <v>192000</v>
      </c>
      <c r="DS22" s="265">
        <v>19</v>
      </c>
      <c r="DT22" s="211">
        <f t="shared" ref="DT22:DV22" si="181">DI22+DT21</f>
        <v>139000</v>
      </c>
      <c r="DU22" s="211">
        <f t="shared" si="181"/>
        <v>278000</v>
      </c>
      <c r="DV22" s="211">
        <f t="shared" si="181"/>
        <v>556000</v>
      </c>
      <c r="DW22" s="211">
        <f t="shared" ref="DW22:DY22" si="182">DM22+DW21</f>
        <v>278000</v>
      </c>
      <c r="DX22" s="211">
        <f t="shared" si="182"/>
        <v>417000</v>
      </c>
      <c r="DY22" s="211">
        <f t="shared" si="182"/>
        <v>834000</v>
      </c>
      <c r="DZ22" s="211">
        <v>0</v>
      </c>
      <c r="EA22" s="211">
        <f t="shared" ref="EA22:EB22" si="183">DQ22+EA21</f>
        <v>556000</v>
      </c>
      <c r="EB22" s="211">
        <f t="shared" si="183"/>
        <v>1112000</v>
      </c>
      <c r="EC22" s="428">
        <v>19</v>
      </c>
      <c r="ED22" s="211"/>
      <c r="EE22" s="211">
        <f t="shared" si="18"/>
        <v>0</v>
      </c>
      <c r="EF22" s="211"/>
      <c r="EG22" s="211"/>
      <c r="EH22" s="211"/>
      <c r="EI22" s="211"/>
      <c r="EJ22" s="211"/>
      <c r="EK22" s="211"/>
      <c r="EL22" s="211"/>
      <c r="EM22" s="211"/>
      <c r="EN22" s="211"/>
    </row>
    <row r="23" spans="1:144" ht="15.75" customHeight="1" x14ac:dyDescent="0.2">
      <c r="A23" s="421">
        <v>20</v>
      </c>
      <c r="B23" s="211">
        <v>100</v>
      </c>
      <c r="C23" s="211">
        <f t="shared" si="4"/>
        <v>1050</v>
      </c>
      <c r="D23" s="421">
        <v>20</v>
      </c>
      <c r="E23" s="211">
        <v>1649</v>
      </c>
      <c r="F23" s="211">
        <f t="shared" si="5"/>
        <v>11803</v>
      </c>
      <c r="G23" s="138" t="s">
        <v>358</v>
      </c>
      <c r="H23" s="122">
        <v>50200</v>
      </c>
      <c r="I23" s="122">
        <f t="shared" si="6"/>
        <v>428520</v>
      </c>
      <c r="J23" s="122">
        <v>4000</v>
      </c>
      <c r="K23" s="122">
        <f t="shared" si="7"/>
        <v>42704</v>
      </c>
      <c r="L23" s="145" t="s">
        <v>359</v>
      </c>
      <c r="M23" s="173">
        <v>120000</v>
      </c>
      <c r="N23" s="173">
        <f t="shared" si="20"/>
        <v>1045000</v>
      </c>
      <c r="O23" s="173">
        <v>2000</v>
      </c>
      <c r="P23" s="173">
        <f t="shared" si="21"/>
        <v>24800</v>
      </c>
      <c r="Q23" s="8"/>
      <c r="R23" s="439"/>
      <c r="S23" s="426">
        <v>20</v>
      </c>
      <c r="T23" s="431">
        <v>8</v>
      </c>
      <c r="U23" s="432">
        <v>0</v>
      </c>
      <c r="V23" s="211">
        <v>32</v>
      </c>
      <c r="W23" s="211">
        <v>0</v>
      </c>
      <c r="X23" s="211">
        <v>160</v>
      </c>
      <c r="Y23" s="211">
        <v>0</v>
      </c>
      <c r="Z23" s="432">
        <v>6</v>
      </c>
      <c r="AA23" s="432">
        <v>0</v>
      </c>
      <c r="AB23" s="432">
        <v>30</v>
      </c>
      <c r="AC23" s="432">
        <v>0</v>
      </c>
      <c r="AD23" s="230">
        <v>11</v>
      </c>
      <c r="AE23" s="211">
        <v>0</v>
      </c>
      <c r="AF23" s="432">
        <v>44</v>
      </c>
      <c r="AG23" s="432">
        <v>0</v>
      </c>
      <c r="AH23" s="211">
        <v>220</v>
      </c>
      <c r="AI23" s="211">
        <v>0</v>
      </c>
      <c r="AJ23" s="69">
        <v>10</v>
      </c>
      <c r="AK23" s="69">
        <v>0</v>
      </c>
      <c r="AL23" s="435">
        <f t="shared" ref="AL23:AM23" si="184">AJ23*5</f>
        <v>50</v>
      </c>
      <c r="AM23" s="435">
        <f t="shared" si="184"/>
        <v>0</v>
      </c>
      <c r="AN23" s="432">
        <v>11</v>
      </c>
      <c r="AO23" s="432">
        <v>0</v>
      </c>
      <c r="AP23" s="432">
        <v>55</v>
      </c>
      <c r="AQ23" s="432">
        <v>0</v>
      </c>
      <c r="AR23" s="211">
        <v>275</v>
      </c>
      <c r="AS23" s="211">
        <v>0</v>
      </c>
      <c r="AT23" s="432">
        <v>11</v>
      </c>
      <c r="AU23" s="432">
        <v>0</v>
      </c>
      <c r="AV23" s="443">
        <v>55</v>
      </c>
      <c r="AW23" s="444">
        <v>0</v>
      </c>
      <c r="AX23" s="230">
        <v>11</v>
      </c>
      <c r="AY23" s="211">
        <v>0</v>
      </c>
      <c r="AZ23" s="432">
        <v>55</v>
      </c>
      <c r="BA23" s="432">
        <v>0</v>
      </c>
      <c r="BB23" s="432">
        <v>275</v>
      </c>
      <c r="BC23" s="432">
        <v>0</v>
      </c>
      <c r="BD23" s="432">
        <v>11</v>
      </c>
      <c r="BE23" s="432">
        <v>0</v>
      </c>
      <c r="BF23" s="432">
        <f t="shared" ref="BF23:BG23" si="185">BD23*5</f>
        <v>55</v>
      </c>
      <c r="BG23" s="433">
        <f t="shared" si="185"/>
        <v>0</v>
      </c>
      <c r="BH23" s="427">
        <v>20</v>
      </c>
      <c r="BI23" s="211">
        <f t="shared" ref="BI23:BR23" si="186">BI22+T23</f>
        <v>92</v>
      </c>
      <c r="BJ23" s="211">
        <f t="shared" si="186"/>
        <v>0</v>
      </c>
      <c r="BK23" s="211">
        <f t="shared" si="186"/>
        <v>368</v>
      </c>
      <c r="BL23" s="211">
        <f t="shared" si="186"/>
        <v>0</v>
      </c>
      <c r="BM23" s="211">
        <f t="shared" si="186"/>
        <v>1840</v>
      </c>
      <c r="BN23" s="211">
        <f t="shared" si="186"/>
        <v>0</v>
      </c>
      <c r="BO23" s="211">
        <f t="shared" si="186"/>
        <v>75</v>
      </c>
      <c r="BP23" s="211">
        <f t="shared" si="186"/>
        <v>0</v>
      </c>
      <c r="BQ23" s="211">
        <f t="shared" si="186"/>
        <v>375</v>
      </c>
      <c r="BR23" s="211">
        <f t="shared" si="186"/>
        <v>0</v>
      </c>
      <c r="BS23" s="427">
        <v>20</v>
      </c>
      <c r="BT23" s="211">
        <f t="shared" ref="BT23:CC23" si="187">BT22+AD23</f>
        <v>117</v>
      </c>
      <c r="BU23" s="211">
        <f t="shared" si="187"/>
        <v>0</v>
      </c>
      <c r="BV23" s="211">
        <f t="shared" si="187"/>
        <v>485</v>
      </c>
      <c r="BW23" s="211">
        <f t="shared" si="187"/>
        <v>0</v>
      </c>
      <c r="BX23" s="211">
        <f t="shared" si="187"/>
        <v>2425</v>
      </c>
      <c r="BY23" s="211">
        <f t="shared" si="187"/>
        <v>0</v>
      </c>
      <c r="BZ23" s="211">
        <f t="shared" si="187"/>
        <v>95</v>
      </c>
      <c r="CA23" s="211">
        <f t="shared" si="187"/>
        <v>0</v>
      </c>
      <c r="CB23" s="211">
        <f t="shared" si="187"/>
        <v>475</v>
      </c>
      <c r="CC23" s="211">
        <f t="shared" si="187"/>
        <v>0</v>
      </c>
      <c r="CD23" s="427">
        <v>20</v>
      </c>
      <c r="CE23" s="211">
        <f t="shared" ref="CE23:CN23" si="188">CE22+AN23</f>
        <v>117</v>
      </c>
      <c r="CF23" s="211">
        <f t="shared" si="188"/>
        <v>0</v>
      </c>
      <c r="CG23" s="211">
        <f t="shared" si="188"/>
        <v>585</v>
      </c>
      <c r="CH23" s="211">
        <f t="shared" si="188"/>
        <v>0</v>
      </c>
      <c r="CI23" s="211">
        <f t="shared" si="188"/>
        <v>2925</v>
      </c>
      <c r="CJ23" s="211">
        <f t="shared" si="188"/>
        <v>0</v>
      </c>
      <c r="CK23" s="211">
        <f t="shared" si="188"/>
        <v>117</v>
      </c>
      <c r="CL23" s="211">
        <f t="shared" si="188"/>
        <v>0</v>
      </c>
      <c r="CM23" s="211">
        <f t="shared" si="188"/>
        <v>585</v>
      </c>
      <c r="CN23" s="211">
        <f t="shared" si="188"/>
        <v>0</v>
      </c>
      <c r="CO23" s="427">
        <v>20</v>
      </c>
      <c r="CP23" s="211">
        <f t="shared" ref="CP23:CY23" si="189">CP22+AX23</f>
        <v>117</v>
      </c>
      <c r="CQ23" s="211">
        <f t="shared" si="189"/>
        <v>0</v>
      </c>
      <c r="CR23" s="211">
        <f t="shared" si="189"/>
        <v>585</v>
      </c>
      <c r="CS23" s="211">
        <f t="shared" si="189"/>
        <v>0</v>
      </c>
      <c r="CT23" s="211">
        <f t="shared" si="189"/>
        <v>2925</v>
      </c>
      <c r="CU23" s="211">
        <f t="shared" si="189"/>
        <v>0</v>
      </c>
      <c r="CV23" s="211">
        <f t="shared" si="189"/>
        <v>117</v>
      </c>
      <c r="CW23" s="211">
        <f t="shared" si="189"/>
        <v>0</v>
      </c>
      <c r="CX23" s="211">
        <f t="shared" si="189"/>
        <v>585</v>
      </c>
      <c r="CY23" s="211">
        <f t="shared" si="189"/>
        <v>0</v>
      </c>
      <c r="CZ23" s="421">
        <v>20</v>
      </c>
      <c r="DA23" s="24">
        <v>14000</v>
      </c>
      <c r="DB23" s="211">
        <f t="shared" si="13"/>
        <v>84600</v>
      </c>
      <c r="DC23" s="211">
        <v>50</v>
      </c>
      <c r="DD23" s="211">
        <f t="shared" si="14"/>
        <v>50</v>
      </c>
      <c r="DE23" s="211"/>
      <c r="DF23" s="211"/>
      <c r="DG23" s="211"/>
      <c r="DH23" s="265">
        <v>20</v>
      </c>
      <c r="DI23" s="230">
        <v>27000</v>
      </c>
      <c r="DJ23" s="211">
        <v>54000</v>
      </c>
      <c r="DK23" s="232">
        <v>108000</v>
      </c>
      <c r="DL23" s="265">
        <v>20</v>
      </c>
      <c r="DM23" s="230">
        <v>54000</v>
      </c>
      <c r="DN23" s="211">
        <v>81000</v>
      </c>
      <c r="DO23" s="232">
        <v>162000</v>
      </c>
      <c r="DP23" s="266">
        <v>20</v>
      </c>
      <c r="DQ23" s="211">
        <v>108000</v>
      </c>
      <c r="DR23" s="232">
        <v>216000</v>
      </c>
      <c r="DS23" s="265">
        <v>20</v>
      </c>
      <c r="DT23" s="211">
        <f t="shared" ref="DT23:DV23" si="190">DI23+DT22</f>
        <v>166000</v>
      </c>
      <c r="DU23" s="211">
        <f t="shared" si="190"/>
        <v>332000</v>
      </c>
      <c r="DV23" s="211">
        <f t="shared" si="190"/>
        <v>664000</v>
      </c>
      <c r="DW23" s="211">
        <f t="shared" ref="DW23:DY23" si="191">DM23+DW22</f>
        <v>332000</v>
      </c>
      <c r="DX23" s="211">
        <f t="shared" si="191"/>
        <v>498000</v>
      </c>
      <c r="DY23" s="211">
        <f t="shared" si="191"/>
        <v>996000</v>
      </c>
      <c r="DZ23" s="211">
        <v>0</v>
      </c>
      <c r="EA23" s="211">
        <f t="shared" ref="EA23:EB23" si="192">DQ23+EA22</f>
        <v>664000</v>
      </c>
      <c r="EB23" s="211">
        <f t="shared" si="192"/>
        <v>1328000</v>
      </c>
      <c r="EC23" s="428">
        <v>20</v>
      </c>
      <c r="ED23" s="211"/>
      <c r="EE23" s="211">
        <f t="shared" si="18"/>
        <v>0</v>
      </c>
      <c r="EF23" s="211"/>
      <c r="EG23" s="211"/>
      <c r="EH23" s="211"/>
      <c r="EI23" s="211"/>
      <c r="EJ23" s="211"/>
      <c r="EK23" s="211"/>
      <c r="EL23" s="211"/>
      <c r="EM23" s="211"/>
      <c r="EN23" s="211"/>
    </row>
    <row r="24" spans="1:144" ht="15.75" customHeight="1" x14ac:dyDescent="0.2">
      <c r="A24" s="421">
        <v>21</v>
      </c>
      <c r="B24" s="211">
        <v>110</v>
      </c>
      <c r="C24" s="211">
        <f t="shared" si="4"/>
        <v>1160</v>
      </c>
      <c r="D24" s="421">
        <v>21</v>
      </c>
      <c r="E24" s="211">
        <v>1824</v>
      </c>
      <c r="F24" s="211">
        <f t="shared" si="5"/>
        <v>13627</v>
      </c>
      <c r="G24" s="138" t="s">
        <v>360</v>
      </c>
      <c r="H24" s="122">
        <v>53360</v>
      </c>
      <c r="I24" s="122">
        <f t="shared" si="6"/>
        <v>481880</v>
      </c>
      <c r="J24" s="122">
        <v>4000</v>
      </c>
      <c r="K24" s="122">
        <f t="shared" si="7"/>
        <v>46704</v>
      </c>
      <c r="L24" s="145" t="s">
        <v>361</v>
      </c>
      <c r="M24" s="173">
        <v>120000</v>
      </c>
      <c r="N24" s="173">
        <f t="shared" si="20"/>
        <v>1165000</v>
      </c>
      <c r="O24" s="173">
        <v>2000</v>
      </c>
      <c r="P24" s="173">
        <f t="shared" si="21"/>
        <v>26800</v>
      </c>
      <c r="Q24" s="8"/>
      <c r="R24" s="439"/>
      <c r="S24" s="426">
        <v>21</v>
      </c>
      <c r="T24" s="230">
        <v>8</v>
      </c>
      <c r="U24" s="211">
        <v>0</v>
      </c>
      <c r="V24" s="211">
        <v>32</v>
      </c>
      <c r="W24" s="211">
        <v>0</v>
      </c>
      <c r="X24" s="432">
        <v>160</v>
      </c>
      <c r="Y24" s="432">
        <v>0</v>
      </c>
      <c r="Z24" s="432">
        <v>6</v>
      </c>
      <c r="AA24" s="432">
        <v>0</v>
      </c>
      <c r="AB24" s="211">
        <v>30</v>
      </c>
      <c r="AC24" s="211">
        <v>0</v>
      </c>
      <c r="AD24" s="230">
        <v>11</v>
      </c>
      <c r="AE24" s="211">
        <v>0</v>
      </c>
      <c r="AF24" s="211">
        <v>44</v>
      </c>
      <c r="AG24" s="211">
        <v>0</v>
      </c>
      <c r="AH24" s="211">
        <v>220</v>
      </c>
      <c r="AI24" s="211">
        <v>0</v>
      </c>
      <c r="AJ24" s="69">
        <v>10</v>
      </c>
      <c r="AK24" s="69">
        <v>0</v>
      </c>
      <c r="AL24" s="435">
        <f t="shared" ref="AL24:AM24" si="193">AJ24*5</f>
        <v>50</v>
      </c>
      <c r="AM24" s="435">
        <f t="shared" si="193"/>
        <v>0</v>
      </c>
      <c r="AN24" s="432">
        <v>11</v>
      </c>
      <c r="AO24" s="432">
        <v>0</v>
      </c>
      <c r="AP24" s="432">
        <v>55</v>
      </c>
      <c r="AQ24" s="432">
        <v>0</v>
      </c>
      <c r="AR24" s="432">
        <v>275</v>
      </c>
      <c r="AS24" s="432">
        <v>0</v>
      </c>
      <c r="AT24" s="432">
        <v>11</v>
      </c>
      <c r="AU24" s="432">
        <v>0</v>
      </c>
      <c r="AV24" s="445">
        <v>55</v>
      </c>
      <c r="AW24" s="446">
        <v>0</v>
      </c>
      <c r="AX24" s="230">
        <v>11</v>
      </c>
      <c r="AY24" s="211">
        <v>0</v>
      </c>
      <c r="AZ24" s="432">
        <v>55</v>
      </c>
      <c r="BA24" s="432">
        <v>0</v>
      </c>
      <c r="BB24" s="211">
        <v>275</v>
      </c>
      <c r="BC24" s="211">
        <v>0</v>
      </c>
      <c r="BD24" s="432">
        <v>11</v>
      </c>
      <c r="BE24" s="432">
        <v>0</v>
      </c>
      <c r="BF24" s="432">
        <f t="shared" ref="BF24:BG24" si="194">BD24*5</f>
        <v>55</v>
      </c>
      <c r="BG24" s="433">
        <f t="shared" si="194"/>
        <v>0</v>
      </c>
      <c r="BH24" s="427">
        <v>21</v>
      </c>
      <c r="BI24" s="211">
        <f t="shared" ref="BI24:BR24" si="195">BI23+T24</f>
        <v>100</v>
      </c>
      <c r="BJ24" s="211">
        <f t="shared" si="195"/>
        <v>0</v>
      </c>
      <c r="BK24" s="211">
        <f t="shared" si="195"/>
        <v>400</v>
      </c>
      <c r="BL24" s="211">
        <f t="shared" si="195"/>
        <v>0</v>
      </c>
      <c r="BM24" s="211">
        <f t="shared" si="195"/>
        <v>2000</v>
      </c>
      <c r="BN24" s="211">
        <f t="shared" si="195"/>
        <v>0</v>
      </c>
      <c r="BO24" s="211">
        <f t="shared" si="195"/>
        <v>81</v>
      </c>
      <c r="BP24" s="211">
        <f t="shared" si="195"/>
        <v>0</v>
      </c>
      <c r="BQ24" s="211">
        <f t="shared" si="195"/>
        <v>405</v>
      </c>
      <c r="BR24" s="211">
        <f t="shared" si="195"/>
        <v>0</v>
      </c>
      <c r="BS24" s="427">
        <v>21</v>
      </c>
      <c r="BT24" s="211">
        <f t="shared" ref="BT24:CC24" si="196">BT23+AD24</f>
        <v>128</v>
      </c>
      <c r="BU24" s="211">
        <f t="shared" si="196"/>
        <v>0</v>
      </c>
      <c r="BV24" s="211">
        <f t="shared" si="196"/>
        <v>529</v>
      </c>
      <c r="BW24" s="211">
        <f t="shared" si="196"/>
        <v>0</v>
      </c>
      <c r="BX24" s="211">
        <f t="shared" si="196"/>
        <v>2645</v>
      </c>
      <c r="BY24" s="211">
        <f t="shared" si="196"/>
        <v>0</v>
      </c>
      <c r="BZ24" s="211">
        <f t="shared" si="196"/>
        <v>105</v>
      </c>
      <c r="CA24" s="211">
        <f t="shared" si="196"/>
        <v>0</v>
      </c>
      <c r="CB24" s="211">
        <f t="shared" si="196"/>
        <v>525</v>
      </c>
      <c r="CC24" s="211">
        <f t="shared" si="196"/>
        <v>0</v>
      </c>
      <c r="CD24" s="427">
        <v>21</v>
      </c>
      <c r="CE24" s="211">
        <f t="shared" ref="CE24:CN24" si="197">CE23+AN24</f>
        <v>128</v>
      </c>
      <c r="CF24" s="211">
        <f t="shared" si="197"/>
        <v>0</v>
      </c>
      <c r="CG24" s="211">
        <f t="shared" si="197"/>
        <v>640</v>
      </c>
      <c r="CH24" s="211">
        <f t="shared" si="197"/>
        <v>0</v>
      </c>
      <c r="CI24" s="211">
        <f t="shared" si="197"/>
        <v>3200</v>
      </c>
      <c r="CJ24" s="211">
        <f t="shared" si="197"/>
        <v>0</v>
      </c>
      <c r="CK24" s="211">
        <f t="shared" si="197"/>
        <v>128</v>
      </c>
      <c r="CL24" s="211">
        <f t="shared" si="197"/>
        <v>0</v>
      </c>
      <c r="CM24" s="211">
        <f t="shared" si="197"/>
        <v>640</v>
      </c>
      <c r="CN24" s="211">
        <f t="shared" si="197"/>
        <v>0</v>
      </c>
      <c r="CO24" s="427">
        <v>21</v>
      </c>
      <c r="CP24" s="211">
        <f t="shared" ref="CP24:CY24" si="198">CP23+AX24</f>
        <v>128</v>
      </c>
      <c r="CQ24" s="211">
        <f t="shared" si="198"/>
        <v>0</v>
      </c>
      <c r="CR24" s="211">
        <f t="shared" si="198"/>
        <v>640</v>
      </c>
      <c r="CS24" s="211">
        <f t="shared" si="198"/>
        <v>0</v>
      </c>
      <c r="CT24" s="211">
        <f t="shared" si="198"/>
        <v>3200</v>
      </c>
      <c r="CU24" s="211">
        <f t="shared" si="198"/>
        <v>0</v>
      </c>
      <c r="CV24" s="211">
        <f t="shared" si="198"/>
        <v>128</v>
      </c>
      <c r="CW24" s="211">
        <f t="shared" si="198"/>
        <v>0</v>
      </c>
      <c r="CX24" s="211">
        <f t="shared" si="198"/>
        <v>640</v>
      </c>
      <c r="CY24" s="211">
        <f t="shared" si="198"/>
        <v>0</v>
      </c>
      <c r="CZ24" s="421">
        <v>21</v>
      </c>
      <c r="DA24" s="24">
        <v>16000</v>
      </c>
      <c r="DB24" s="211">
        <f t="shared" si="13"/>
        <v>100600</v>
      </c>
      <c r="DC24" s="211"/>
      <c r="DD24" s="211">
        <f t="shared" si="14"/>
        <v>50</v>
      </c>
      <c r="DE24" s="211"/>
      <c r="DF24" s="211"/>
      <c r="DG24" s="211"/>
      <c r="DH24" s="265">
        <v>21</v>
      </c>
      <c r="DI24" s="230">
        <v>30000</v>
      </c>
      <c r="DJ24" s="211">
        <v>60000</v>
      </c>
      <c r="DK24" s="232">
        <v>120000</v>
      </c>
      <c r="DL24" s="265">
        <v>21</v>
      </c>
      <c r="DM24" s="230">
        <v>60000</v>
      </c>
      <c r="DN24" s="211">
        <v>90000</v>
      </c>
      <c r="DO24" s="232">
        <v>180000</v>
      </c>
      <c r="DP24" s="266">
        <v>21</v>
      </c>
      <c r="DQ24" s="211">
        <v>120000</v>
      </c>
      <c r="DR24" s="232">
        <v>240000</v>
      </c>
      <c r="DS24" s="265">
        <v>21</v>
      </c>
      <c r="DT24" s="211">
        <f t="shared" ref="DT24:DV24" si="199">DI24+DT23</f>
        <v>196000</v>
      </c>
      <c r="DU24" s="211">
        <f t="shared" si="199"/>
        <v>392000</v>
      </c>
      <c r="DV24" s="211">
        <f t="shared" si="199"/>
        <v>784000</v>
      </c>
      <c r="DW24" s="211">
        <f t="shared" ref="DW24:DY24" si="200">DM24+DW23</f>
        <v>392000</v>
      </c>
      <c r="DX24" s="211">
        <f t="shared" si="200"/>
        <v>588000</v>
      </c>
      <c r="DY24" s="211">
        <f t="shared" si="200"/>
        <v>1176000</v>
      </c>
      <c r="DZ24" s="211">
        <v>0</v>
      </c>
      <c r="EA24" s="211">
        <f t="shared" ref="EA24:EB24" si="201">DQ24+EA23</f>
        <v>784000</v>
      </c>
      <c r="EB24" s="211">
        <f t="shared" si="201"/>
        <v>1568000</v>
      </c>
      <c r="EC24" s="428">
        <v>21</v>
      </c>
      <c r="ED24" s="211"/>
      <c r="EE24" s="211">
        <f t="shared" si="18"/>
        <v>0</v>
      </c>
      <c r="EF24" s="211"/>
      <c r="EG24" s="211"/>
      <c r="EH24" s="211"/>
      <c r="EI24" s="211"/>
      <c r="EJ24" s="211"/>
      <c r="EK24" s="211"/>
      <c r="EL24" s="211"/>
      <c r="EM24" s="211"/>
      <c r="EN24" s="211"/>
    </row>
    <row r="25" spans="1:144" ht="15.75" customHeight="1" x14ac:dyDescent="0.2">
      <c r="A25" s="421">
        <v>22</v>
      </c>
      <c r="B25" s="211">
        <v>120</v>
      </c>
      <c r="C25" s="211">
        <f t="shared" si="4"/>
        <v>1280</v>
      </c>
      <c r="D25" s="421">
        <v>22</v>
      </c>
      <c r="E25" s="211">
        <v>2009</v>
      </c>
      <c r="F25" s="211">
        <f t="shared" si="5"/>
        <v>15636</v>
      </c>
      <c r="G25" s="447" t="s">
        <v>77</v>
      </c>
      <c r="H25" s="122">
        <v>58000</v>
      </c>
      <c r="I25" s="122">
        <f t="shared" si="6"/>
        <v>539880</v>
      </c>
      <c r="J25" s="122">
        <v>8000</v>
      </c>
      <c r="K25" s="122">
        <f t="shared" si="7"/>
        <v>54704</v>
      </c>
      <c r="L25" s="145" t="s">
        <v>362</v>
      </c>
      <c r="M25" s="173">
        <v>120000</v>
      </c>
      <c r="N25" s="173">
        <f t="shared" si="20"/>
        <v>1285000</v>
      </c>
      <c r="O25" s="173">
        <v>2000</v>
      </c>
      <c r="P25" s="173">
        <f t="shared" si="21"/>
        <v>28800</v>
      </c>
      <c r="Q25" s="8"/>
      <c r="R25" s="439"/>
      <c r="S25" s="426">
        <v>22</v>
      </c>
      <c r="T25" s="431">
        <v>8</v>
      </c>
      <c r="U25" s="432">
        <v>0</v>
      </c>
      <c r="V25" s="69">
        <v>32</v>
      </c>
      <c r="W25" s="69">
        <v>0</v>
      </c>
      <c r="X25" s="432">
        <v>160</v>
      </c>
      <c r="Y25" s="432">
        <v>0</v>
      </c>
      <c r="Z25" s="432">
        <v>6</v>
      </c>
      <c r="AA25" s="432">
        <v>0</v>
      </c>
      <c r="AB25" s="432">
        <v>30</v>
      </c>
      <c r="AC25" s="432">
        <v>0</v>
      </c>
      <c r="AD25" s="230">
        <v>11</v>
      </c>
      <c r="AE25" s="211">
        <v>0</v>
      </c>
      <c r="AF25" s="432">
        <v>48</v>
      </c>
      <c r="AG25" s="432">
        <v>0</v>
      </c>
      <c r="AH25" s="211">
        <v>240</v>
      </c>
      <c r="AI25" s="211">
        <v>0</v>
      </c>
      <c r="AJ25" s="69">
        <v>10</v>
      </c>
      <c r="AK25" s="69">
        <v>0</v>
      </c>
      <c r="AL25" s="435">
        <f t="shared" ref="AL25:AM25" si="202">AJ25*5</f>
        <v>50</v>
      </c>
      <c r="AM25" s="435">
        <f t="shared" si="202"/>
        <v>0</v>
      </c>
      <c r="AN25" s="432">
        <v>11</v>
      </c>
      <c r="AO25" s="432">
        <v>0</v>
      </c>
      <c r="AP25" s="432">
        <v>55</v>
      </c>
      <c r="AQ25" s="432">
        <v>0</v>
      </c>
      <c r="AR25" s="432">
        <v>275</v>
      </c>
      <c r="AS25" s="432">
        <v>0</v>
      </c>
      <c r="AT25" s="432">
        <v>11</v>
      </c>
      <c r="AU25" s="432">
        <v>0</v>
      </c>
      <c r="AV25" s="445">
        <v>55</v>
      </c>
      <c r="AW25" s="446">
        <v>0</v>
      </c>
      <c r="AX25" s="230">
        <v>11</v>
      </c>
      <c r="AY25" s="211">
        <v>0</v>
      </c>
      <c r="AZ25" s="432">
        <v>55</v>
      </c>
      <c r="BA25" s="432">
        <v>0</v>
      </c>
      <c r="BB25" s="432">
        <v>275</v>
      </c>
      <c r="BC25" s="432">
        <v>0</v>
      </c>
      <c r="BD25" s="432">
        <v>11</v>
      </c>
      <c r="BE25" s="432">
        <v>0</v>
      </c>
      <c r="BF25" s="432">
        <f t="shared" ref="BF25:BG25" si="203">BD25*5</f>
        <v>55</v>
      </c>
      <c r="BG25" s="433">
        <f t="shared" si="203"/>
        <v>0</v>
      </c>
      <c r="BH25" s="427">
        <v>22</v>
      </c>
      <c r="BI25" s="211">
        <f t="shared" ref="BI25:BR25" si="204">BI24+T25</f>
        <v>108</v>
      </c>
      <c r="BJ25" s="211">
        <f t="shared" si="204"/>
        <v>0</v>
      </c>
      <c r="BK25" s="211">
        <f t="shared" si="204"/>
        <v>432</v>
      </c>
      <c r="BL25" s="211">
        <f t="shared" si="204"/>
        <v>0</v>
      </c>
      <c r="BM25" s="211">
        <f t="shared" si="204"/>
        <v>2160</v>
      </c>
      <c r="BN25" s="211">
        <f t="shared" si="204"/>
        <v>0</v>
      </c>
      <c r="BO25" s="211">
        <f t="shared" si="204"/>
        <v>87</v>
      </c>
      <c r="BP25" s="211">
        <f t="shared" si="204"/>
        <v>0</v>
      </c>
      <c r="BQ25" s="211">
        <f t="shared" si="204"/>
        <v>435</v>
      </c>
      <c r="BR25" s="211">
        <f t="shared" si="204"/>
        <v>0</v>
      </c>
      <c r="BS25" s="427">
        <v>22</v>
      </c>
      <c r="BT25" s="211">
        <f t="shared" ref="BT25:CC25" si="205">BT24+AD25</f>
        <v>139</v>
      </c>
      <c r="BU25" s="211">
        <f t="shared" si="205"/>
        <v>0</v>
      </c>
      <c r="BV25" s="211">
        <f t="shared" si="205"/>
        <v>577</v>
      </c>
      <c r="BW25" s="211">
        <f t="shared" si="205"/>
        <v>0</v>
      </c>
      <c r="BX25" s="211">
        <f t="shared" si="205"/>
        <v>2885</v>
      </c>
      <c r="BY25" s="211">
        <f t="shared" si="205"/>
        <v>0</v>
      </c>
      <c r="BZ25" s="211">
        <f t="shared" si="205"/>
        <v>115</v>
      </c>
      <c r="CA25" s="211">
        <f t="shared" si="205"/>
        <v>0</v>
      </c>
      <c r="CB25" s="211">
        <f t="shared" si="205"/>
        <v>575</v>
      </c>
      <c r="CC25" s="211">
        <f t="shared" si="205"/>
        <v>0</v>
      </c>
      <c r="CD25" s="427">
        <v>22</v>
      </c>
      <c r="CE25" s="211">
        <f t="shared" ref="CE25:CN25" si="206">CE24+AN25</f>
        <v>139</v>
      </c>
      <c r="CF25" s="211">
        <f t="shared" si="206"/>
        <v>0</v>
      </c>
      <c r="CG25" s="211">
        <f t="shared" si="206"/>
        <v>695</v>
      </c>
      <c r="CH25" s="211">
        <f t="shared" si="206"/>
        <v>0</v>
      </c>
      <c r="CI25" s="211">
        <f t="shared" si="206"/>
        <v>3475</v>
      </c>
      <c r="CJ25" s="211">
        <f t="shared" si="206"/>
        <v>0</v>
      </c>
      <c r="CK25" s="211">
        <f t="shared" si="206"/>
        <v>139</v>
      </c>
      <c r="CL25" s="211">
        <f t="shared" si="206"/>
        <v>0</v>
      </c>
      <c r="CM25" s="211">
        <f t="shared" si="206"/>
        <v>695</v>
      </c>
      <c r="CN25" s="211">
        <f t="shared" si="206"/>
        <v>0</v>
      </c>
      <c r="CO25" s="427">
        <v>22</v>
      </c>
      <c r="CP25" s="211">
        <f t="shared" ref="CP25:CY25" si="207">CP24+AX25</f>
        <v>139</v>
      </c>
      <c r="CQ25" s="211">
        <f t="shared" si="207"/>
        <v>0</v>
      </c>
      <c r="CR25" s="211">
        <f t="shared" si="207"/>
        <v>695</v>
      </c>
      <c r="CS25" s="211">
        <f t="shared" si="207"/>
        <v>0</v>
      </c>
      <c r="CT25" s="211">
        <f t="shared" si="207"/>
        <v>3475</v>
      </c>
      <c r="CU25" s="211">
        <f t="shared" si="207"/>
        <v>0</v>
      </c>
      <c r="CV25" s="211">
        <f t="shared" si="207"/>
        <v>139</v>
      </c>
      <c r="CW25" s="211">
        <f t="shared" si="207"/>
        <v>0</v>
      </c>
      <c r="CX25" s="211">
        <f t="shared" si="207"/>
        <v>695</v>
      </c>
      <c r="CY25" s="211">
        <f t="shared" si="207"/>
        <v>0</v>
      </c>
      <c r="CZ25" s="421">
        <v>22</v>
      </c>
      <c r="DA25" s="24">
        <v>18000</v>
      </c>
      <c r="DB25" s="211">
        <f t="shared" si="13"/>
        <v>118600</v>
      </c>
      <c r="DC25" s="211"/>
      <c r="DD25" s="211">
        <f t="shared" si="14"/>
        <v>50</v>
      </c>
      <c r="DE25" s="211"/>
      <c r="DF25" s="211"/>
      <c r="DG25" s="211"/>
      <c r="DH25" s="265">
        <v>22</v>
      </c>
      <c r="DI25" s="230">
        <v>33000</v>
      </c>
      <c r="DJ25" s="211">
        <v>66000</v>
      </c>
      <c r="DK25" s="232">
        <v>132000</v>
      </c>
      <c r="DL25" s="265">
        <v>22</v>
      </c>
      <c r="DM25" s="230">
        <v>66000</v>
      </c>
      <c r="DN25" s="211">
        <v>99000</v>
      </c>
      <c r="DO25" s="232">
        <v>198000</v>
      </c>
      <c r="DP25" s="266">
        <v>22</v>
      </c>
      <c r="DQ25" s="211">
        <v>132000</v>
      </c>
      <c r="DR25" s="232">
        <v>264000</v>
      </c>
      <c r="DS25" s="265">
        <v>22</v>
      </c>
      <c r="DT25" s="211">
        <f t="shared" ref="DT25:DV25" si="208">DI25+DT24</f>
        <v>229000</v>
      </c>
      <c r="DU25" s="211">
        <f t="shared" si="208"/>
        <v>458000</v>
      </c>
      <c r="DV25" s="211">
        <f t="shared" si="208"/>
        <v>916000</v>
      </c>
      <c r="DW25" s="211">
        <f t="shared" ref="DW25:DY25" si="209">DM25+DW24</f>
        <v>458000</v>
      </c>
      <c r="DX25" s="211">
        <f t="shared" si="209"/>
        <v>687000</v>
      </c>
      <c r="DY25" s="211">
        <f t="shared" si="209"/>
        <v>1374000</v>
      </c>
      <c r="DZ25" s="211">
        <v>0</v>
      </c>
      <c r="EA25" s="211">
        <f t="shared" ref="EA25:EB25" si="210">DQ25+EA24</f>
        <v>916000</v>
      </c>
      <c r="EB25" s="211">
        <f t="shared" si="210"/>
        <v>1832000</v>
      </c>
      <c r="EC25" s="428">
        <v>22</v>
      </c>
      <c r="ED25" s="211"/>
      <c r="EE25" s="211">
        <f t="shared" si="18"/>
        <v>0</v>
      </c>
      <c r="EF25" s="211"/>
      <c r="EG25" s="211"/>
      <c r="EH25" s="211"/>
      <c r="EI25" s="211"/>
      <c r="EJ25" s="211"/>
      <c r="EK25" s="211"/>
      <c r="EL25" s="211"/>
      <c r="EM25" s="211"/>
      <c r="EN25" s="211"/>
    </row>
    <row r="26" spans="1:144" ht="15.75" customHeight="1" x14ac:dyDescent="0.2">
      <c r="A26" s="421">
        <v>23</v>
      </c>
      <c r="B26" s="211">
        <v>130</v>
      </c>
      <c r="C26" s="211">
        <f t="shared" si="4"/>
        <v>1410</v>
      </c>
      <c r="D26" s="421">
        <v>23</v>
      </c>
      <c r="E26" s="211">
        <v>2204</v>
      </c>
      <c r="F26" s="211">
        <f t="shared" si="5"/>
        <v>17840</v>
      </c>
      <c r="G26" s="447" t="s">
        <v>363</v>
      </c>
      <c r="H26" s="141">
        <v>66000</v>
      </c>
      <c r="I26" s="141">
        <f t="shared" si="6"/>
        <v>605880</v>
      </c>
      <c r="J26" s="141">
        <v>8000</v>
      </c>
      <c r="K26" s="141">
        <f t="shared" si="7"/>
        <v>62704</v>
      </c>
      <c r="L26" s="145" t="s">
        <v>364</v>
      </c>
      <c r="M26" s="173">
        <v>120000</v>
      </c>
      <c r="N26" s="173">
        <f t="shared" si="20"/>
        <v>1405000</v>
      </c>
      <c r="O26" s="173">
        <v>2000</v>
      </c>
      <c r="P26" s="173">
        <f t="shared" si="21"/>
        <v>30800</v>
      </c>
      <c r="Q26" s="8"/>
      <c r="R26" s="439"/>
      <c r="S26" s="426">
        <v>23</v>
      </c>
      <c r="T26" s="431">
        <v>8</v>
      </c>
      <c r="U26" s="432">
        <v>0</v>
      </c>
      <c r="V26" s="211">
        <v>32</v>
      </c>
      <c r="W26" s="211">
        <v>0</v>
      </c>
      <c r="X26" s="432">
        <v>160</v>
      </c>
      <c r="Y26" s="432">
        <v>0</v>
      </c>
      <c r="Z26" s="432">
        <v>6</v>
      </c>
      <c r="AA26" s="432">
        <v>0</v>
      </c>
      <c r="AB26" s="211">
        <v>30</v>
      </c>
      <c r="AC26" s="211">
        <v>0</v>
      </c>
      <c r="AD26" s="230">
        <v>11</v>
      </c>
      <c r="AE26" s="211">
        <v>0</v>
      </c>
      <c r="AF26" s="432">
        <v>48</v>
      </c>
      <c r="AG26" s="432">
        <v>0</v>
      </c>
      <c r="AH26" s="211">
        <v>240</v>
      </c>
      <c r="AI26" s="211">
        <v>0</v>
      </c>
      <c r="AJ26" s="69">
        <v>12</v>
      </c>
      <c r="AK26" s="69">
        <v>0</v>
      </c>
      <c r="AL26" s="435">
        <f t="shared" ref="AL26:AM26" si="211">AJ26*5</f>
        <v>60</v>
      </c>
      <c r="AM26" s="435">
        <f t="shared" si="211"/>
        <v>0</v>
      </c>
      <c r="AN26" s="432">
        <v>11</v>
      </c>
      <c r="AO26" s="432">
        <v>0</v>
      </c>
      <c r="AP26" s="432">
        <v>55</v>
      </c>
      <c r="AQ26" s="432">
        <v>0</v>
      </c>
      <c r="AR26" s="432">
        <v>275</v>
      </c>
      <c r="AS26" s="432">
        <v>0</v>
      </c>
      <c r="AT26" s="432">
        <v>11</v>
      </c>
      <c r="AU26" s="432">
        <v>0</v>
      </c>
      <c r="AV26" s="445">
        <v>55</v>
      </c>
      <c r="AW26" s="446">
        <v>0</v>
      </c>
      <c r="AX26" s="230">
        <v>11</v>
      </c>
      <c r="AY26" s="211">
        <v>0</v>
      </c>
      <c r="AZ26" s="432">
        <v>55</v>
      </c>
      <c r="BA26" s="432">
        <v>0</v>
      </c>
      <c r="BB26" s="432">
        <v>275</v>
      </c>
      <c r="BC26" s="432">
        <v>0</v>
      </c>
      <c r="BD26" s="432">
        <v>11</v>
      </c>
      <c r="BE26" s="432">
        <v>0</v>
      </c>
      <c r="BF26" s="432">
        <f t="shared" ref="BF26:BG26" si="212">BD26*5</f>
        <v>55</v>
      </c>
      <c r="BG26" s="433">
        <f t="shared" si="212"/>
        <v>0</v>
      </c>
      <c r="BH26" s="427">
        <v>23</v>
      </c>
      <c r="BI26" s="211">
        <f t="shared" ref="BI26:BR26" si="213">BI25+T26</f>
        <v>116</v>
      </c>
      <c r="BJ26" s="211">
        <f t="shared" si="213"/>
        <v>0</v>
      </c>
      <c r="BK26" s="211">
        <f t="shared" si="213"/>
        <v>464</v>
      </c>
      <c r="BL26" s="211">
        <f t="shared" si="213"/>
        <v>0</v>
      </c>
      <c r="BM26" s="211">
        <f t="shared" si="213"/>
        <v>2320</v>
      </c>
      <c r="BN26" s="211">
        <f t="shared" si="213"/>
        <v>0</v>
      </c>
      <c r="BO26" s="211">
        <f t="shared" si="213"/>
        <v>93</v>
      </c>
      <c r="BP26" s="211">
        <f t="shared" si="213"/>
        <v>0</v>
      </c>
      <c r="BQ26" s="211">
        <f t="shared" si="213"/>
        <v>465</v>
      </c>
      <c r="BR26" s="211">
        <f t="shared" si="213"/>
        <v>0</v>
      </c>
      <c r="BS26" s="427">
        <v>23</v>
      </c>
      <c r="BT26" s="211">
        <f t="shared" ref="BT26:CC26" si="214">BT25+AD26</f>
        <v>150</v>
      </c>
      <c r="BU26" s="211">
        <f t="shared" si="214"/>
        <v>0</v>
      </c>
      <c r="BV26" s="211">
        <f t="shared" si="214"/>
        <v>625</v>
      </c>
      <c r="BW26" s="211">
        <f t="shared" si="214"/>
        <v>0</v>
      </c>
      <c r="BX26" s="211">
        <f t="shared" si="214"/>
        <v>3125</v>
      </c>
      <c r="BY26" s="211">
        <f t="shared" si="214"/>
        <v>0</v>
      </c>
      <c r="BZ26" s="211">
        <f t="shared" si="214"/>
        <v>127</v>
      </c>
      <c r="CA26" s="211">
        <f t="shared" si="214"/>
        <v>0</v>
      </c>
      <c r="CB26" s="211">
        <f t="shared" si="214"/>
        <v>635</v>
      </c>
      <c r="CC26" s="211">
        <f t="shared" si="214"/>
        <v>0</v>
      </c>
      <c r="CD26" s="427">
        <v>23</v>
      </c>
      <c r="CE26" s="211">
        <f t="shared" ref="CE26:CN26" si="215">CE25+AN26</f>
        <v>150</v>
      </c>
      <c r="CF26" s="211">
        <f t="shared" si="215"/>
        <v>0</v>
      </c>
      <c r="CG26" s="211">
        <f t="shared" si="215"/>
        <v>750</v>
      </c>
      <c r="CH26" s="211">
        <f t="shared" si="215"/>
        <v>0</v>
      </c>
      <c r="CI26" s="211">
        <f t="shared" si="215"/>
        <v>3750</v>
      </c>
      <c r="CJ26" s="211">
        <f t="shared" si="215"/>
        <v>0</v>
      </c>
      <c r="CK26" s="211">
        <f t="shared" si="215"/>
        <v>150</v>
      </c>
      <c r="CL26" s="211">
        <f t="shared" si="215"/>
        <v>0</v>
      </c>
      <c r="CM26" s="211">
        <f t="shared" si="215"/>
        <v>750</v>
      </c>
      <c r="CN26" s="211">
        <f t="shared" si="215"/>
        <v>0</v>
      </c>
      <c r="CO26" s="427">
        <v>23</v>
      </c>
      <c r="CP26" s="211">
        <f t="shared" ref="CP26:CY26" si="216">CP25+AX26</f>
        <v>150</v>
      </c>
      <c r="CQ26" s="211">
        <f t="shared" si="216"/>
        <v>0</v>
      </c>
      <c r="CR26" s="211">
        <f t="shared" si="216"/>
        <v>750</v>
      </c>
      <c r="CS26" s="211">
        <f t="shared" si="216"/>
        <v>0</v>
      </c>
      <c r="CT26" s="211">
        <f t="shared" si="216"/>
        <v>3750</v>
      </c>
      <c r="CU26" s="211">
        <f t="shared" si="216"/>
        <v>0</v>
      </c>
      <c r="CV26" s="211">
        <f t="shared" si="216"/>
        <v>150</v>
      </c>
      <c r="CW26" s="211">
        <f t="shared" si="216"/>
        <v>0</v>
      </c>
      <c r="CX26" s="211">
        <f t="shared" si="216"/>
        <v>750</v>
      </c>
      <c r="CY26" s="211">
        <f t="shared" si="216"/>
        <v>0</v>
      </c>
      <c r="CZ26" s="421">
        <v>23</v>
      </c>
      <c r="DA26" s="24">
        <v>20000</v>
      </c>
      <c r="DB26" s="211">
        <f t="shared" si="13"/>
        <v>138600</v>
      </c>
      <c r="DC26" s="211"/>
      <c r="DD26" s="211">
        <f t="shared" si="14"/>
        <v>50</v>
      </c>
      <c r="DE26" s="211"/>
      <c r="DF26" s="211"/>
      <c r="DG26" s="211"/>
      <c r="DH26" s="265">
        <v>23</v>
      </c>
      <c r="DI26" s="230">
        <v>36000</v>
      </c>
      <c r="DJ26" s="211">
        <v>72000</v>
      </c>
      <c r="DK26" s="232">
        <v>144000</v>
      </c>
      <c r="DL26" s="265">
        <v>23</v>
      </c>
      <c r="DM26" s="230">
        <v>72000</v>
      </c>
      <c r="DN26" s="211">
        <v>108000</v>
      </c>
      <c r="DO26" s="232">
        <v>216000</v>
      </c>
      <c r="DP26" s="266">
        <v>23</v>
      </c>
      <c r="DQ26" s="211">
        <v>144000</v>
      </c>
      <c r="DR26" s="232">
        <v>288000</v>
      </c>
      <c r="DS26" s="265">
        <v>23</v>
      </c>
      <c r="DT26" s="211">
        <f t="shared" ref="DT26:DV26" si="217">DI26+DT25</f>
        <v>265000</v>
      </c>
      <c r="DU26" s="211">
        <f t="shared" si="217"/>
        <v>530000</v>
      </c>
      <c r="DV26" s="211">
        <f t="shared" si="217"/>
        <v>1060000</v>
      </c>
      <c r="DW26" s="211">
        <f t="shared" ref="DW26:DY26" si="218">DM26+DW25</f>
        <v>530000</v>
      </c>
      <c r="DX26" s="211">
        <f t="shared" si="218"/>
        <v>795000</v>
      </c>
      <c r="DY26" s="211">
        <f t="shared" si="218"/>
        <v>1590000</v>
      </c>
      <c r="DZ26" s="211">
        <v>0</v>
      </c>
      <c r="EA26" s="211">
        <f t="shared" ref="EA26:EB26" si="219">DQ26+EA25</f>
        <v>1060000</v>
      </c>
      <c r="EB26" s="211">
        <f t="shared" si="219"/>
        <v>2120000</v>
      </c>
      <c r="EC26" s="428">
        <v>23</v>
      </c>
      <c r="ED26" s="211"/>
      <c r="EE26" s="211">
        <f t="shared" si="18"/>
        <v>0</v>
      </c>
      <c r="EF26" s="211"/>
      <c r="EG26" s="211"/>
      <c r="EH26" s="211"/>
      <c r="EI26" s="211"/>
      <c r="EJ26" s="211"/>
      <c r="EK26" s="211"/>
      <c r="EL26" s="211"/>
      <c r="EM26" s="211"/>
      <c r="EN26" s="211"/>
    </row>
    <row r="27" spans="1:144" ht="15.75" customHeight="1" x14ac:dyDescent="0.2">
      <c r="A27" s="421">
        <v>24</v>
      </c>
      <c r="B27" s="211">
        <v>140</v>
      </c>
      <c r="C27" s="211">
        <f t="shared" si="4"/>
        <v>1550</v>
      </c>
      <c r="D27" s="421">
        <v>24</v>
      </c>
      <c r="E27" s="211">
        <v>2408</v>
      </c>
      <c r="F27" s="211">
        <f t="shared" si="5"/>
        <v>20248</v>
      </c>
      <c r="G27" s="447" t="s">
        <v>365</v>
      </c>
      <c r="H27" s="141">
        <v>76000</v>
      </c>
      <c r="I27" s="141">
        <f t="shared" si="6"/>
        <v>681880</v>
      </c>
      <c r="J27" s="141">
        <v>11000</v>
      </c>
      <c r="K27" s="141">
        <f t="shared" si="7"/>
        <v>73704</v>
      </c>
      <c r="L27" s="145" t="s">
        <v>366</v>
      </c>
      <c r="M27" s="173">
        <v>120000</v>
      </c>
      <c r="N27" s="173">
        <f t="shared" si="20"/>
        <v>1525000</v>
      </c>
      <c r="O27" s="173">
        <v>2000</v>
      </c>
      <c r="P27" s="173">
        <f t="shared" si="21"/>
        <v>32800</v>
      </c>
      <c r="Q27" s="8"/>
      <c r="R27" s="439"/>
      <c r="S27" s="426">
        <v>24</v>
      </c>
      <c r="T27" s="431">
        <v>11</v>
      </c>
      <c r="U27" s="432">
        <v>0</v>
      </c>
      <c r="V27" s="211">
        <v>44</v>
      </c>
      <c r="W27" s="211">
        <v>0</v>
      </c>
      <c r="X27" s="432">
        <v>220</v>
      </c>
      <c r="Y27" s="432">
        <v>0</v>
      </c>
      <c r="Z27" s="211">
        <v>9</v>
      </c>
      <c r="AA27" s="211">
        <v>0</v>
      </c>
      <c r="AB27" s="432">
        <v>45</v>
      </c>
      <c r="AC27" s="432">
        <v>0</v>
      </c>
      <c r="AD27" s="230">
        <v>14</v>
      </c>
      <c r="AE27" s="211">
        <v>0</v>
      </c>
      <c r="AF27" s="432">
        <v>56</v>
      </c>
      <c r="AG27" s="432">
        <v>0</v>
      </c>
      <c r="AH27" s="211">
        <v>280</v>
      </c>
      <c r="AI27" s="211">
        <v>0</v>
      </c>
      <c r="AJ27" s="69">
        <v>12</v>
      </c>
      <c r="AK27" s="69">
        <v>0</v>
      </c>
      <c r="AL27" s="435">
        <f t="shared" ref="AL27:AM27" si="220">AJ27*5</f>
        <v>60</v>
      </c>
      <c r="AM27" s="435">
        <f t="shared" si="220"/>
        <v>0</v>
      </c>
      <c r="AN27" s="432">
        <v>14</v>
      </c>
      <c r="AO27" s="432">
        <v>0</v>
      </c>
      <c r="AP27" s="432">
        <v>70</v>
      </c>
      <c r="AQ27" s="432">
        <v>0</v>
      </c>
      <c r="AR27" s="432">
        <v>350</v>
      </c>
      <c r="AS27" s="432">
        <v>0</v>
      </c>
      <c r="AT27" s="432">
        <v>14</v>
      </c>
      <c r="AU27" s="432">
        <v>0</v>
      </c>
      <c r="AV27" s="445">
        <v>70</v>
      </c>
      <c r="AW27" s="446">
        <v>0</v>
      </c>
      <c r="AX27" s="230">
        <v>14</v>
      </c>
      <c r="AY27" s="211">
        <v>0</v>
      </c>
      <c r="AZ27" s="432">
        <v>70</v>
      </c>
      <c r="BA27" s="432">
        <v>0</v>
      </c>
      <c r="BB27" s="211">
        <v>350</v>
      </c>
      <c r="BC27" s="211">
        <v>0</v>
      </c>
      <c r="BD27" s="432">
        <v>14</v>
      </c>
      <c r="BE27" s="432">
        <v>0</v>
      </c>
      <c r="BF27" s="432">
        <f t="shared" ref="BF27:BG27" si="221">BD27*5</f>
        <v>70</v>
      </c>
      <c r="BG27" s="433">
        <f t="shared" si="221"/>
        <v>0</v>
      </c>
      <c r="BH27" s="427">
        <v>24</v>
      </c>
      <c r="BI27" s="211">
        <f t="shared" ref="BI27:BR27" si="222">BI26+T27</f>
        <v>127</v>
      </c>
      <c r="BJ27" s="211">
        <f t="shared" si="222"/>
        <v>0</v>
      </c>
      <c r="BK27" s="211">
        <f t="shared" si="222"/>
        <v>508</v>
      </c>
      <c r="BL27" s="211">
        <f t="shared" si="222"/>
        <v>0</v>
      </c>
      <c r="BM27" s="211">
        <f t="shared" si="222"/>
        <v>2540</v>
      </c>
      <c r="BN27" s="211">
        <f t="shared" si="222"/>
        <v>0</v>
      </c>
      <c r="BO27" s="211">
        <f t="shared" si="222"/>
        <v>102</v>
      </c>
      <c r="BP27" s="211">
        <f t="shared" si="222"/>
        <v>0</v>
      </c>
      <c r="BQ27" s="211">
        <f t="shared" si="222"/>
        <v>510</v>
      </c>
      <c r="BR27" s="211">
        <f t="shared" si="222"/>
        <v>0</v>
      </c>
      <c r="BS27" s="427">
        <v>24</v>
      </c>
      <c r="BT27" s="211">
        <f t="shared" ref="BT27:CC27" si="223">BT26+AD27</f>
        <v>164</v>
      </c>
      <c r="BU27" s="211">
        <f t="shared" si="223"/>
        <v>0</v>
      </c>
      <c r="BV27" s="211">
        <f t="shared" si="223"/>
        <v>681</v>
      </c>
      <c r="BW27" s="211">
        <f t="shared" si="223"/>
        <v>0</v>
      </c>
      <c r="BX27" s="211">
        <f t="shared" si="223"/>
        <v>3405</v>
      </c>
      <c r="BY27" s="211">
        <f t="shared" si="223"/>
        <v>0</v>
      </c>
      <c r="BZ27" s="211">
        <f t="shared" si="223"/>
        <v>139</v>
      </c>
      <c r="CA27" s="211">
        <f t="shared" si="223"/>
        <v>0</v>
      </c>
      <c r="CB27" s="211">
        <f t="shared" si="223"/>
        <v>695</v>
      </c>
      <c r="CC27" s="211">
        <f t="shared" si="223"/>
        <v>0</v>
      </c>
      <c r="CD27" s="427">
        <v>24</v>
      </c>
      <c r="CE27" s="211">
        <f t="shared" ref="CE27:CN27" si="224">CE26+AN27</f>
        <v>164</v>
      </c>
      <c r="CF27" s="211">
        <f t="shared" si="224"/>
        <v>0</v>
      </c>
      <c r="CG27" s="211">
        <f t="shared" si="224"/>
        <v>820</v>
      </c>
      <c r="CH27" s="211">
        <f t="shared" si="224"/>
        <v>0</v>
      </c>
      <c r="CI27" s="211">
        <f t="shared" si="224"/>
        <v>4100</v>
      </c>
      <c r="CJ27" s="211">
        <f t="shared" si="224"/>
        <v>0</v>
      </c>
      <c r="CK27" s="211">
        <f t="shared" si="224"/>
        <v>164</v>
      </c>
      <c r="CL27" s="211">
        <f t="shared" si="224"/>
        <v>0</v>
      </c>
      <c r="CM27" s="211">
        <f t="shared" si="224"/>
        <v>820</v>
      </c>
      <c r="CN27" s="211">
        <f t="shared" si="224"/>
        <v>0</v>
      </c>
      <c r="CO27" s="427">
        <v>24</v>
      </c>
      <c r="CP27" s="211">
        <f t="shared" ref="CP27:CY27" si="225">CP26+AX27</f>
        <v>164</v>
      </c>
      <c r="CQ27" s="211">
        <f t="shared" si="225"/>
        <v>0</v>
      </c>
      <c r="CR27" s="211">
        <f t="shared" si="225"/>
        <v>820</v>
      </c>
      <c r="CS27" s="211">
        <f t="shared" si="225"/>
        <v>0</v>
      </c>
      <c r="CT27" s="211">
        <f t="shared" si="225"/>
        <v>4100</v>
      </c>
      <c r="CU27" s="211">
        <f t="shared" si="225"/>
        <v>0</v>
      </c>
      <c r="CV27" s="211">
        <f t="shared" si="225"/>
        <v>164</v>
      </c>
      <c r="CW27" s="211">
        <f t="shared" si="225"/>
        <v>0</v>
      </c>
      <c r="CX27" s="211">
        <f t="shared" si="225"/>
        <v>820</v>
      </c>
      <c r="CY27" s="211">
        <f t="shared" si="225"/>
        <v>0</v>
      </c>
      <c r="CZ27" s="421">
        <v>24</v>
      </c>
      <c r="DA27" s="24">
        <v>25000</v>
      </c>
      <c r="DB27" s="211">
        <f t="shared" si="13"/>
        <v>163600</v>
      </c>
      <c r="DC27" s="211"/>
      <c r="DD27" s="211">
        <f t="shared" si="14"/>
        <v>50</v>
      </c>
      <c r="DE27" s="211"/>
      <c r="DF27" s="211"/>
      <c r="DG27" s="211"/>
      <c r="DH27" s="265">
        <v>24</v>
      </c>
      <c r="DI27" s="230">
        <v>39000</v>
      </c>
      <c r="DJ27" s="211">
        <v>78000</v>
      </c>
      <c r="DK27" s="232">
        <v>156000</v>
      </c>
      <c r="DL27" s="265">
        <v>24</v>
      </c>
      <c r="DM27" s="230">
        <v>78000</v>
      </c>
      <c r="DN27" s="211">
        <v>117000</v>
      </c>
      <c r="DO27" s="232">
        <v>234000</v>
      </c>
      <c r="DP27" s="266">
        <v>24</v>
      </c>
      <c r="DQ27" s="211">
        <v>156000</v>
      </c>
      <c r="DR27" s="232">
        <v>312000</v>
      </c>
      <c r="DS27" s="265">
        <v>24</v>
      </c>
      <c r="DT27" s="211">
        <f t="shared" ref="DT27:DV27" si="226">DI27+DT26</f>
        <v>304000</v>
      </c>
      <c r="DU27" s="211">
        <f t="shared" si="226"/>
        <v>608000</v>
      </c>
      <c r="DV27" s="211">
        <f t="shared" si="226"/>
        <v>1216000</v>
      </c>
      <c r="DW27" s="211">
        <f t="shared" ref="DW27:DY27" si="227">DM27+DW26</f>
        <v>608000</v>
      </c>
      <c r="DX27" s="211">
        <f t="shared" si="227"/>
        <v>912000</v>
      </c>
      <c r="DY27" s="211">
        <f t="shared" si="227"/>
        <v>1824000</v>
      </c>
      <c r="DZ27" s="211">
        <v>0</v>
      </c>
      <c r="EA27" s="211">
        <f t="shared" ref="EA27:EB27" si="228">DQ27+EA26</f>
        <v>1216000</v>
      </c>
      <c r="EB27" s="211">
        <f t="shared" si="228"/>
        <v>2432000</v>
      </c>
      <c r="EC27" s="428">
        <v>24</v>
      </c>
      <c r="ED27" s="211"/>
      <c r="EE27" s="211">
        <f t="shared" si="18"/>
        <v>0</v>
      </c>
      <c r="EF27" s="211"/>
      <c r="EG27" s="211"/>
      <c r="EH27" s="211"/>
      <c r="EI27" s="211"/>
      <c r="EJ27" s="211"/>
      <c r="EK27" s="211"/>
      <c r="EL27" s="211"/>
      <c r="EM27" s="211"/>
      <c r="EN27" s="211"/>
    </row>
    <row r="28" spans="1:144" ht="15.75" customHeight="1" x14ac:dyDescent="0.2">
      <c r="A28" s="421">
        <v>25</v>
      </c>
      <c r="B28" s="211">
        <v>150</v>
      </c>
      <c r="C28" s="211">
        <f t="shared" si="4"/>
        <v>1700</v>
      </c>
      <c r="D28" s="421">
        <v>25</v>
      </c>
      <c r="E28" s="211">
        <v>2623</v>
      </c>
      <c r="F28" s="211">
        <f t="shared" si="5"/>
        <v>22871</v>
      </c>
      <c r="G28" s="447" t="s">
        <v>78</v>
      </c>
      <c r="H28" s="141">
        <v>86000</v>
      </c>
      <c r="I28" s="141">
        <f t="shared" si="6"/>
        <v>767880</v>
      </c>
      <c r="J28" s="141">
        <v>11000</v>
      </c>
      <c r="K28" s="141">
        <f t="shared" si="7"/>
        <v>84704</v>
      </c>
      <c r="L28" s="145" t="s">
        <v>367</v>
      </c>
      <c r="M28" s="173">
        <v>120000</v>
      </c>
      <c r="N28" s="173">
        <f t="shared" si="20"/>
        <v>1645000</v>
      </c>
      <c r="O28" s="173">
        <v>2000</v>
      </c>
      <c r="P28" s="173">
        <f t="shared" si="21"/>
        <v>34800</v>
      </c>
      <c r="Q28" s="8"/>
      <c r="R28" s="439"/>
      <c r="S28" s="426">
        <v>25</v>
      </c>
      <c r="T28" s="431">
        <v>11</v>
      </c>
      <c r="U28" s="432">
        <v>0</v>
      </c>
      <c r="V28" s="211">
        <v>44</v>
      </c>
      <c r="W28" s="211">
        <v>0</v>
      </c>
      <c r="X28" s="69">
        <v>220</v>
      </c>
      <c r="Y28" s="69">
        <v>0</v>
      </c>
      <c r="Z28" s="432">
        <v>9</v>
      </c>
      <c r="AA28" s="432">
        <v>0</v>
      </c>
      <c r="AB28" s="211">
        <v>45</v>
      </c>
      <c r="AC28" s="211">
        <v>0</v>
      </c>
      <c r="AD28" s="230">
        <v>14</v>
      </c>
      <c r="AE28" s="211">
        <v>0</v>
      </c>
      <c r="AF28" s="432">
        <v>56</v>
      </c>
      <c r="AG28" s="432">
        <v>0</v>
      </c>
      <c r="AH28" s="211">
        <v>280</v>
      </c>
      <c r="AI28" s="211">
        <v>0</v>
      </c>
      <c r="AJ28" s="69">
        <v>14</v>
      </c>
      <c r="AK28" s="69">
        <v>0</v>
      </c>
      <c r="AL28" s="435">
        <f t="shared" ref="AL28:AM28" si="229">AJ28*5</f>
        <v>70</v>
      </c>
      <c r="AM28" s="435">
        <f t="shared" si="229"/>
        <v>0</v>
      </c>
      <c r="AN28" s="432">
        <v>14</v>
      </c>
      <c r="AO28" s="432">
        <v>0</v>
      </c>
      <c r="AP28" s="432">
        <v>70</v>
      </c>
      <c r="AQ28" s="432">
        <v>0</v>
      </c>
      <c r="AR28" s="432">
        <v>350</v>
      </c>
      <c r="AS28" s="432">
        <v>0</v>
      </c>
      <c r="AT28" s="432">
        <v>14</v>
      </c>
      <c r="AU28" s="432">
        <v>0</v>
      </c>
      <c r="AV28" s="445">
        <v>70</v>
      </c>
      <c r="AW28" s="446">
        <v>0</v>
      </c>
      <c r="AX28" s="230">
        <v>14</v>
      </c>
      <c r="AY28" s="211">
        <v>0</v>
      </c>
      <c r="AZ28" s="432">
        <v>70</v>
      </c>
      <c r="BA28" s="432">
        <v>0</v>
      </c>
      <c r="BB28" s="432">
        <v>350</v>
      </c>
      <c r="BC28" s="432">
        <v>0</v>
      </c>
      <c r="BD28" s="432">
        <v>14</v>
      </c>
      <c r="BE28" s="432">
        <v>0</v>
      </c>
      <c r="BF28" s="432">
        <f t="shared" ref="BF28:BG28" si="230">BD28*5</f>
        <v>70</v>
      </c>
      <c r="BG28" s="433">
        <f t="shared" si="230"/>
        <v>0</v>
      </c>
      <c r="BH28" s="427">
        <v>25</v>
      </c>
      <c r="BI28" s="211">
        <f t="shared" ref="BI28:BR28" si="231">BI27+T28</f>
        <v>138</v>
      </c>
      <c r="BJ28" s="211">
        <f t="shared" si="231"/>
        <v>0</v>
      </c>
      <c r="BK28" s="211">
        <f t="shared" si="231"/>
        <v>552</v>
      </c>
      <c r="BL28" s="211">
        <f t="shared" si="231"/>
        <v>0</v>
      </c>
      <c r="BM28" s="211">
        <f t="shared" si="231"/>
        <v>2760</v>
      </c>
      <c r="BN28" s="211">
        <f t="shared" si="231"/>
        <v>0</v>
      </c>
      <c r="BO28" s="211">
        <f t="shared" si="231"/>
        <v>111</v>
      </c>
      <c r="BP28" s="211">
        <f t="shared" si="231"/>
        <v>0</v>
      </c>
      <c r="BQ28" s="211">
        <f t="shared" si="231"/>
        <v>555</v>
      </c>
      <c r="BR28" s="211">
        <f t="shared" si="231"/>
        <v>0</v>
      </c>
      <c r="BS28" s="427">
        <v>25</v>
      </c>
      <c r="BT28" s="211">
        <f t="shared" ref="BT28:CC28" si="232">BT27+AD28</f>
        <v>178</v>
      </c>
      <c r="BU28" s="211">
        <f t="shared" si="232"/>
        <v>0</v>
      </c>
      <c r="BV28" s="211">
        <f t="shared" si="232"/>
        <v>737</v>
      </c>
      <c r="BW28" s="211">
        <f t="shared" si="232"/>
        <v>0</v>
      </c>
      <c r="BX28" s="211">
        <f t="shared" si="232"/>
        <v>3685</v>
      </c>
      <c r="BY28" s="211">
        <f t="shared" si="232"/>
        <v>0</v>
      </c>
      <c r="BZ28" s="211">
        <f t="shared" si="232"/>
        <v>153</v>
      </c>
      <c r="CA28" s="211">
        <f t="shared" si="232"/>
        <v>0</v>
      </c>
      <c r="CB28" s="211">
        <f t="shared" si="232"/>
        <v>765</v>
      </c>
      <c r="CC28" s="211">
        <f t="shared" si="232"/>
        <v>0</v>
      </c>
      <c r="CD28" s="427">
        <v>25</v>
      </c>
      <c r="CE28" s="211">
        <f t="shared" ref="CE28:CN28" si="233">CE27+AN28</f>
        <v>178</v>
      </c>
      <c r="CF28" s="211">
        <f t="shared" si="233"/>
        <v>0</v>
      </c>
      <c r="CG28" s="211">
        <f t="shared" si="233"/>
        <v>890</v>
      </c>
      <c r="CH28" s="211">
        <f t="shared" si="233"/>
        <v>0</v>
      </c>
      <c r="CI28" s="211">
        <f t="shared" si="233"/>
        <v>4450</v>
      </c>
      <c r="CJ28" s="211">
        <f t="shared" si="233"/>
        <v>0</v>
      </c>
      <c r="CK28" s="211">
        <f t="shared" si="233"/>
        <v>178</v>
      </c>
      <c r="CL28" s="211">
        <f t="shared" si="233"/>
        <v>0</v>
      </c>
      <c r="CM28" s="211">
        <f t="shared" si="233"/>
        <v>890</v>
      </c>
      <c r="CN28" s="211">
        <f t="shared" si="233"/>
        <v>0</v>
      </c>
      <c r="CO28" s="427">
        <v>25</v>
      </c>
      <c r="CP28" s="211">
        <f t="shared" ref="CP28:CY28" si="234">CP27+AX28</f>
        <v>178</v>
      </c>
      <c r="CQ28" s="211">
        <f t="shared" si="234"/>
        <v>0</v>
      </c>
      <c r="CR28" s="211">
        <f t="shared" si="234"/>
        <v>890</v>
      </c>
      <c r="CS28" s="211">
        <f t="shared" si="234"/>
        <v>0</v>
      </c>
      <c r="CT28" s="211">
        <f t="shared" si="234"/>
        <v>4450</v>
      </c>
      <c r="CU28" s="211">
        <f t="shared" si="234"/>
        <v>0</v>
      </c>
      <c r="CV28" s="211">
        <f t="shared" si="234"/>
        <v>178</v>
      </c>
      <c r="CW28" s="211">
        <f t="shared" si="234"/>
        <v>0</v>
      </c>
      <c r="CX28" s="211">
        <f t="shared" si="234"/>
        <v>890</v>
      </c>
      <c r="CY28" s="211">
        <f t="shared" si="234"/>
        <v>0</v>
      </c>
      <c r="CZ28" s="421">
        <v>25</v>
      </c>
      <c r="DA28" s="24">
        <v>30000</v>
      </c>
      <c r="DB28" s="211">
        <f t="shared" si="13"/>
        <v>193600</v>
      </c>
      <c r="DC28" s="211"/>
      <c r="DD28" s="211">
        <f t="shared" si="14"/>
        <v>50</v>
      </c>
      <c r="DE28" s="211"/>
      <c r="DF28" s="211"/>
      <c r="DG28" s="211"/>
      <c r="DH28" s="265">
        <v>25</v>
      </c>
      <c r="DI28" s="230">
        <v>42000</v>
      </c>
      <c r="DJ28" s="211">
        <v>84000</v>
      </c>
      <c r="DK28" s="232">
        <v>168000</v>
      </c>
      <c r="DL28" s="265">
        <v>25</v>
      </c>
      <c r="DM28" s="230">
        <v>84000</v>
      </c>
      <c r="DN28" s="211">
        <v>126000</v>
      </c>
      <c r="DO28" s="232">
        <v>252000</v>
      </c>
      <c r="DP28" s="266">
        <v>25</v>
      </c>
      <c r="DQ28" s="211">
        <v>168000</v>
      </c>
      <c r="DR28" s="232">
        <v>336000</v>
      </c>
      <c r="DS28" s="265">
        <v>25</v>
      </c>
      <c r="DT28" s="211">
        <f t="shared" ref="DT28:DV28" si="235">DI28+DT27</f>
        <v>346000</v>
      </c>
      <c r="DU28" s="211">
        <f t="shared" si="235"/>
        <v>692000</v>
      </c>
      <c r="DV28" s="211">
        <f t="shared" si="235"/>
        <v>1384000</v>
      </c>
      <c r="DW28" s="211">
        <f t="shared" ref="DW28:DY28" si="236">DM28+DW27</f>
        <v>692000</v>
      </c>
      <c r="DX28" s="211">
        <f t="shared" si="236"/>
        <v>1038000</v>
      </c>
      <c r="DY28" s="211">
        <f t="shared" si="236"/>
        <v>2076000</v>
      </c>
      <c r="DZ28" s="211">
        <v>0</v>
      </c>
      <c r="EA28" s="211">
        <f t="shared" ref="EA28:EB28" si="237">DQ28+EA27</f>
        <v>1384000</v>
      </c>
      <c r="EB28" s="211">
        <f t="shared" si="237"/>
        <v>2768000</v>
      </c>
      <c r="EC28" s="428">
        <v>25</v>
      </c>
      <c r="ED28" s="211"/>
      <c r="EE28" s="211">
        <f t="shared" si="18"/>
        <v>0</v>
      </c>
      <c r="EF28" s="211"/>
      <c r="EG28" s="211"/>
      <c r="EH28" s="211"/>
      <c r="EI28" s="211"/>
      <c r="EJ28" s="211"/>
      <c r="EK28" s="211"/>
      <c r="EL28" s="211"/>
      <c r="EM28" s="211"/>
      <c r="EN28" s="211"/>
    </row>
    <row r="29" spans="1:144" ht="15.75" customHeight="1" x14ac:dyDescent="0.2">
      <c r="A29" s="421">
        <v>26</v>
      </c>
      <c r="B29" s="211">
        <v>160</v>
      </c>
      <c r="C29" s="211">
        <f t="shared" si="4"/>
        <v>1860</v>
      </c>
      <c r="D29" s="421">
        <v>26</v>
      </c>
      <c r="E29" s="211">
        <v>2847</v>
      </c>
      <c r="F29" s="211">
        <f t="shared" si="5"/>
        <v>25718</v>
      </c>
      <c r="G29" s="447" t="s">
        <v>368</v>
      </c>
      <c r="H29" s="141">
        <v>96000</v>
      </c>
      <c r="I29" s="141">
        <f t="shared" si="6"/>
        <v>863880</v>
      </c>
      <c r="J29" s="141">
        <v>15000</v>
      </c>
      <c r="K29" s="141">
        <f t="shared" si="7"/>
        <v>99704</v>
      </c>
      <c r="L29" s="145" t="s">
        <v>369</v>
      </c>
      <c r="M29" s="173">
        <v>120000</v>
      </c>
      <c r="N29" s="173">
        <f t="shared" si="20"/>
        <v>1765000</v>
      </c>
      <c r="O29" s="173">
        <v>2000</v>
      </c>
      <c r="P29" s="173">
        <f t="shared" si="21"/>
        <v>36800</v>
      </c>
      <c r="Q29" s="8"/>
      <c r="R29" s="439"/>
      <c r="S29" s="426">
        <v>26</v>
      </c>
      <c r="T29" s="431">
        <v>11</v>
      </c>
      <c r="U29" s="432">
        <v>0</v>
      </c>
      <c r="V29" s="211">
        <v>44</v>
      </c>
      <c r="W29" s="211">
        <v>0</v>
      </c>
      <c r="X29" s="432">
        <v>220</v>
      </c>
      <c r="Y29" s="432">
        <v>0</v>
      </c>
      <c r="Z29" s="432">
        <v>9</v>
      </c>
      <c r="AA29" s="432">
        <v>0</v>
      </c>
      <c r="AB29" s="432">
        <v>45</v>
      </c>
      <c r="AC29" s="432">
        <v>0</v>
      </c>
      <c r="AD29" s="230">
        <v>14</v>
      </c>
      <c r="AE29" s="211">
        <v>0</v>
      </c>
      <c r="AF29" s="432">
        <v>60</v>
      </c>
      <c r="AG29" s="432">
        <v>0</v>
      </c>
      <c r="AH29" s="211">
        <v>300</v>
      </c>
      <c r="AI29" s="211">
        <v>0</v>
      </c>
      <c r="AJ29" s="69">
        <v>14</v>
      </c>
      <c r="AK29" s="69">
        <v>0</v>
      </c>
      <c r="AL29" s="435">
        <f t="shared" ref="AL29:AM29" si="238">AJ29*5</f>
        <v>70</v>
      </c>
      <c r="AM29" s="435">
        <f t="shared" si="238"/>
        <v>0</v>
      </c>
      <c r="AN29" s="432">
        <v>14</v>
      </c>
      <c r="AO29" s="432">
        <v>0</v>
      </c>
      <c r="AP29" s="432">
        <v>70</v>
      </c>
      <c r="AQ29" s="432">
        <v>0</v>
      </c>
      <c r="AR29" s="432">
        <v>350</v>
      </c>
      <c r="AS29" s="432">
        <v>0</v>
      </c>
      <c r="AT29" s="432">
        <v>14</v>
      </c>
      <c r="AU29" s="432">
        <v>0</v>
      </c>
      <c r="AV29" s="445">
        <v>70</v>
      </c>
      <c r="AW29" s="446">
        <v>0</v>
      </c>
      <c r="AX29" s="230">
        <v>14</v>
      </c>
      <c r="AY29" s="211">
        <v>0</v>
      </c>
      <c r="AZ29" s="432">
        <v>70</v>
      </c>
      <c r="BA29" s="432">
        <v>0</v>
      </c>
      <c r="BB29" s="432">
        <v>350</v>
      </c>
      <c r="BC29" s="432">
        <v>0</v>
      </c>
      <c r="BD29" s="432">
        <v>14</v>
      </c>
      <c r="BE29" s="432">
        <v>0</v>
      </c>
      <c r="BF29" s="432">
        <f t="shared" ref="BF29:BG29" si="239">BD29*5</f>
        <v>70</v>
      </c>
      <c r="BG29" s="433">
        <f t="shared" si="239"/>
        <v>0</v>
      </c>
      <c r="BH29" s="427">
        <v>26</v>
      </c>
      <c r="BI29" s="211">
        <f t="shared" ref="BI29:BR29" si="240">BI28+T29</f>
        <v>149</v>
      </c>
      <c r="BJ29" s="211">
        <f t="shared" si="240"/>
        <v>0</v>
      </c>
      <c r="BK29" s="211">
        <f t="shared" si="240"/>
        <v>596</v>
      </c>
      <c r="BL29" s="211">
        <f t="shared" si="240"/>
        <v>0</v>
      </c>
      <c r="BM29" s="211">
        <f t="shared" si="240"/>
        <v>2980</v>
      </c>
      <c r="BN29" s="211">
        <f t="shared" si="240"/>
        <v>0</v>
      </c>
      <c r="BO29" s="211">
        <f t="shared" si="240"/>
        <v>120</v>
      </c>
      <c r="BP29" s="211">
        <f t="shared" si="240"/>
        <v>0</v>
      </c>
      <c r="BQ29" s="211">
        <f t="shared" si="240"/>
        <v>600</v>
      </c>
      <c r="BR29" s="211">
        <f t="shared" si="240"/>
        <v>0</v>
      </c>
      <c r="BS29" s="427">
        <v>26</v>
      </c>
      <c r="BT29" s="211">
        <f t="shared" ref="BT29:CC29" si="241">BT28+AD29</f>
        <v>192</v>
      </c>
      <c r="BU29" s="211">
        <f t="shared" si="241"/>
        <v>0</v>
      </c>
      <c r="BV29" s="211">
        <f t="shared" si="241"/>
        <v>797</v>
      </c>
      <c r="BW29" s="211">
        <f t="shared" si="241"/>
        <v>0</v>
      </c>
      <c r="BX29" s="211">
        <f t="shared" si="241"/>
        <v>3985</v>
      </c>
      <c r="BY29" s="211">
        <f t="shared" si="241"/>
        <v>0</v>
      </c>
      <c r="BZ29" s="211">
        <f t="shared" si="241"/>
        <v>167</v>
      </c>
      <c r="CA29" s="211">
        <f t="shared" si="241"/>
        <v>0</v>
      </c>
      <c r="CB29" s="211">
        <f t="shared" si="241"/>
        <v>835</v>
      </c>
      <c r="CC29" s="211">
        <f t="shared" si="241"/>
        <v>0</v>
      </c>
      <c r="CD29" s="427">
        <v>26</v>
      </c>
      <c r="CE29" s="211">
        <f t="shared" ref="CE29:CN29" si="242">CE28+AN29</f>
        <v>192</v>
      </c>
      <c r="CF29" s="211">
        <f t="shared" si="242"/>
        <v>0</v>
      </c>
      <c r="CG29" s="211">
        <f t="shared" si="242"/>
        <v>960</v>
      </c>
      <c r="CH29" s="211">
        <f t="shared" si="242"/>
        <v>0</v>
      </c>
      <c r="CI29" s="211">
        <f t="shared" si="242"/>
        <v>4800</v>
      </c>
      <c r="CJ29" s="211">
        <f t="shared" si="242"/>
        <v>0</v>
      </c>
      <c r="CK29" s="211">
        <f t="shared" si="242"/>
        <v>192</v>
      </c>
      <c r="CL29" s="211">
        <f t="shared" si="242"/>
        <v>0</v>
      </c>
      <c r="CM29" s="211">
        <f t="shared" si="242"/>
        <v>960</v>
      </c>
      <c r="CN29" s="211">
        <f t="shared" si="242"/>
        <v>0</v>
      </c>
      <c r="CO29" s="427">
        <v>26</v>
      </c>
      <c r="CP29" s="211">
        <f t="shared" ref="CP29:CY29" si="243">CP28+AX29</f>
        <v>192</v>
      </c>
      <c r="CQ29" s="211">
        <f t="shared" si="243"/>
        <v>0</v>
      </c>
      <c r="CR29" s="211">
        <f t="shared" si="243"/>
        <v>960</v>
      </c>
      <c r="CS29" s="211">
        <f t="shared" si="243"/>
        <v>0</v>
      </c>
      <c r="CT29" s="211">
        <f t="shared" si="243"/>
        <v>4800</v>
      </c>
      <c r="CU29" s="211">
        <f t="shared" si="243"/>
        <v>0</v>
      </c>
      <c r="CV29" s="211">
        <f t="shared" si="243"/>
        <v>192</v>
      </c>
      <c r="CW29" s="211">
        <f t="shared" si="243"/>
        <v>0</v>
      </c>
      <c r="CX29" s="211">
        <f t="shared" si="243"/>
        <v>960</v>
      </c>
      <c r="CY29" s="211">
        <f t="shared" si="243"/>
        <v>0</v>
      </c>
      <c r="CZ29" s="421">
        <v>26</v>
      </c>
      <c r="DA29" s="24">
        <v>35000</v>
      </c>
      <c r="DB29" s="211">
        <f t="shared" si="13"/>
        <v>228600</v>
      </c>
      <c r="DC29" s="211"/>
      <c r="DD29" s="211">
        <f t="shared" si="14"/>
        <v>50</v>
      </c>
      <c r="DE29" s="211"/>
      <c r="DF29" s="211"/>
      <c r="DG29" s="211"/>
      <c r="DH29" s="265">
        <v>26</v>
      </c>
      <c r="DI29" s="230">
        <v>45000</v>
      </c>
      <c r="DJ29" s="211">
        <v>90000</v>
      </c>
      <c r="DK29" s="232">
        <v>180000</v>
      </c>
      <c r="DL29" s="265">
        <v>26</v>
      </c>
      <c r="DM29" s="230">
        <v>90000</v>
      </c>
      <c r="DN29" s="211">
        <v>135000</v>
      </c>
      <c r="DO29" s="232">
        <v>270000</v>
      </c>
      <c r="DP29" s="266">
        <v>26</v>
      </c>
      <c r="DQ29" s="211">
        <v>180000</v>
      </c>
      <c r="DR29" s="232">
        <v>360000</v>
      </c>
      <c r="DS29" s="265">
        <v>26</v>
      </c>
      <c r="DT29" s="211">
        <f t="shared" ref="DT29:DV29" si="244">DI29+DT28</f>
        <v>391000</v>
      </c>
      <c r="DU29" s="211">
        <f t="shared" si="244"/>
        <v>782000</v>
      </c>
      <c r="DV29" s="211">
        <f t="shared" si="244"/>
        <v>1564000</v>
      </c>
      <c r="DW29" s="211">
        <f t="shared" ref="DW29:DY29" si="245">DM29+DW28</f>
        <v>782000</v>
      </c>
      <c r="DX29" s="211">
        <f t="shared" si="245"/>
        <v>1173000</v>
      </c>
      <c r="DY29" s="211">
        <f t="shared" si="245"/>
        <v>2346000</v>
      </c>
      <c r="DZ29" s="211">
        <v>0</v>
      </c>
      <c r="EA29" s="211">
        <f t="shared" ref="EA29:EB29" si="246">DQ29+EA28</f>
        <v>1564000</v>
      </c>
      <c r="EB29" s="211">
        <f t="shared" si="246"/>
        <v>3128000</v>
      </c>
      <c r="EC29" s="428">
        <v>26</v>
      </c>
      <c r="ED29" s="211"/>
      <c r="EE29" s="211">
        <f t="shared" si="18"/>
        <v>0</v>
      </c>
      <c r="EF29" s="211"/>
      <c r="EG29" s="211"/>
      <c r="EH29" s="211"/>
      <c r="EI29" s="211"/>
      <c r="EJ29" s="211"/>
      <c r="EK29" s="211"/>
      <c r="EL29" s="211"/>
      <c r="EM29" s="211"/>
      <c r="EN29" s="211"/>
    </row>
    <row r="30" spans="1:144" ht="15.75" customHeight="1" x14ac:dyDescent="0.2">
      <c r="A30" s="421">
        <v>27</v>
      </c>
      <c r="B30" s="211">
        <v>170</v>
      </c>
      <c r="C30" s="211">
        <f t="shared" si="4"/>
        <v>2030</v>
      </c>
      <c r="D30" s="421">
        <v>27</v>
      </c>
      <c r="E30" s="211">
        <v>3082</v>
      </c>
      <c r="F30" s="211">
        <f t="shared" si="5"/>
        <v>28800</v>
      </c>
      <c r="G30" s="447" t="s">
        <v>370</v>
      </c>
      <c r="H30" s="141">
        <v>112000</v>
      </c>
      <c r="I30" s="141">
        <f t="shared" si="6"/>
        <v>975880</v>
      </c>
      <c r="J30" s="141">
        <v>15000</v>
      </c>
      <c r="K30" s="141">
        <f t="shared" si="7"/>
        <v>114704</v>
      </c>
      <c r="L30" s="145" t="s">
        <v>371</v>
      </c>
      <c r="M30" s="173">
        <v>120000</v>
      </c>
      <c r="N30" s="173">
        <f t="shared" si="20"/>
        <v>1885000</v>
      </c>
      <c r="O30" s="173">
        <v>2000</v>
      </c>
      <c r="P30" s="173">
        <f t="shared" si="21"/>
        <v>38800</v>
      </c>
      <c r="Q30" s="8"/>
      <c r="R30" s="439"/>
      <c r="S30" s="426">
        <v>27</v>
      </c>
      <c r="T30" s="431">
        <v>11</v>
      </c>
      <c r="U30" s="432">
        <v>0</v>
      </c>
      <c r="V30" s="211">
        <v>44</v>
      </c>
      <c r="W30" s="211">
        <v>0</v>
      </c>
      <c r="X30" s="432">
        <v>220</v>
      </c>
      <c r="Y30" s="432">
        <v>0</v>
      </c>
      <c r="Z30" s="432">
        <v>9</v>
      </c>
      <c r="AA30" s="432">
        <v>0</v>
      </c>
      <c r="AB30" s="211">
        <v>45</v>
      </c>
      <c r="AC30" s="211">
        <v>0</v>
      </c>
      <c r="AD30" s="230">
        <v>14</v>
      </c>
      <c r="AE30" s="211">
        <v>0</v>
      </c>
      <c r="AF30" s="432">
        <v>60</v>
      </c>
      <c r="AG30" s="432">
        <v>0</v>
      </c>
      <c r="AH30" s="211">
        <v>300</v>
      </c>
      <c r="AI30" s="211">
        <v>0</v>
      </c>
      <c r="AJ30" s="69">
        <v>14</v>
      </c>
      <c r="AK30" s="69">
        <v>0</v>
      </c>
      <c r="AL30" s="435">
        <f t="shared" ref="AL30:AM30" si="247">AJ30*5</f>
        <v>70</v>
      </c>
      <c r="AM30" s="435">
        <f t="shared" si="247"/>
        <v>0</v>
      </c>
      <c r="AN30" s="432">
        <v>14</v>
      </c>
      <c r="AO30" s="432">
        <v>0</v>
      </c>
      <c r="AP30" s="432">
        <v>70</v>
      </c>
      <c r="AQ30" s="432">
        <v>0</v>
      </c>
      <c r="AR30" s="432">
        <v>350</v>
      </c>
      <c r="AS30" s="432">
        <v>0</v>
      </c>
      <c r="AT30" s="432">
        <v>14</v>
      </c>
      <c r="AU30" s="432">
        <v>0</v>
      </c>
      <c r="AV30" s="445">
        <v>70</v>
      </c>
      <c r="AW30" s="446">
        <v>0</v>
      </c>
      <c r="AX30" s="230">
        <v>14</v>
      </c>
      <c r="AY30" s="211">
        <v>0</v>
      </c>
      <c r="AZ30" s="432">
        <v>70</v>
      </c>
      <c r="BA30" s="432">
        <v>0</v>
      </c>
      <c r="BB30" s="432">
        <v>350</v>
      </c>
      <c r="BC30" s="432">
        <v>0</v>
      </c>
      <c r="BD30" s="432">
        <v>14</v>
      </c>
      <c r="BE30" s="432">
        <v>0</v>
      </c>
      <c r="BF30" s="432">
        <f t="shared" ref="BF30:BG30" si="248">BD30*5</f>
        <v>70</v>
      </c>
      <c r="BG30" s="433">
        <f t="shared" si="248"/>
        <v>0</v>
      </c>
      <c r="BH30" s="427">
        <v>27</v>
      </c>
      <c r="BI30" s="211">
        <f t="shared" ref="BI30:BR30" si="249">BI29+T30</f>
        <v>160</v>
      </c>
      <c r="BJ30" s="211">
        <f t="shared" si="249"/>
        <v>0</v>
      </c>
      <c r="BK30" s="211">
        <f t="shared" si="249"/>
        <v>640</v>
      </c>
      <c r="BL30" s="211">
        <f t="shared" si="249"/>
        <v>0</v>
      </c>
      <c r="BM30" s="211">
        <f t="shared" si="249"/>
        <v>3200</v>
      </c>
      <c r="BN30" s="211">
        <f t="shared" si="249"/>
        <v>0</v>
      </c>
      <c r="BO30" s="211">
        <f t="shared" si="249"/>
        <v>129</v>
      </c>
      <c r="BP30" s="211">
        <f t="shared" si="249"/>
        <v>0</v>
      </c>
      <c r="BQ30" s="211">
        <f t="shared" si="249"/>
        <v>645</v>
      </c>
      <c r="BR30" s="211">
        <f t="shared" si="249"/>
        <v>0</v>
      </c>
      <c r="BS30" s="427">
        <v>27</v>
      </c>
      <c r="BT30" s="211">
        <f t="shared" ref="BT30:CC30" si="250">BT29+AD30</f>
        <v>206</v>
      </c>
      <c r="BU30" s="211">
        <f t="shared" si="250"/>
        <v>0</v>
      </c>
      <c r="BV30" s="211">
        <f t="shared" si="250"/>
        <v>857</v>
      </c>
      <c r="BW30" s="211">
        <f t="shared" si="250"/>
        <v>0</v>
      </c>
      <c r="BX30" s="211">
        <f t="shared" si="250"/>
        <v>4285</v>
      </c>
      <c r="BY30" s="211">
        <f t="shared" si="250"/>
        <v>0</v>
      </c>
      <c r="BZ30" s="211">
        <f t="shared" si="250"/>
        <v>181</v>
      </c>
      <c r="CA30" s="211">
        <f t="shared" si="250"/>
        <v>0</v>
      </c>
      <c r="CB30" s="211">
        <f t="shared" si="250"/>
        <v>905</v>
      </c>
      <c r="CC30" s="211">
        <f t="shared" si="250"/>
        <v>0</v>
      </c>
      <c r="CD30" s="427">
        <v>27</v>
      </c>
      <c r="CE30" s="211">
        <f t="shared" ref="CE30:CN30" si="251">CE29+AN30</f>
        <v>206</v>
      </c>
      <c r="CF30" s="211">
        <f t="shared" si="251"/>
        <v>0</v>
      </c>
      <c r="CG30" s="211">
        <f t="shared" si="251"/>
        <v>1030</v>
      </c>
      <c r="CH30" s="211">
        <f t="shared" si="251"/>
        <v>0</v>
      </c>
      <c r="CI30" s="211">
        <f t="shared" si="251"/>
        <v>5150</v>
      </c>
      <c r="CJ30" s="211">
        <f t="shared" si="251"/>
        <v>0</v>
      </c>
      <c r="CK30" s="211">
        <f t="shared" si="251"/>
        <v>206</v>
      </c>
      <c r="CL30" s="211">
        <f t="shared" si="251"/>
        <v>0</v>
      </c>
      <c r="CM30" s="211">
        <f t="shared" si="251"/>
        <v>1030</v>
      </c>
      <c r="CN30" s="211">
        <f t="shared" si="251"/>
        <v>0</v>
      </c>
      <c r="CO30" s="427">
        <v>27</v>
      </c>
      <c r="CP30" s="211">
        <f t="shared" ref="CP30:CY30" si="252">CP29+AX30</f>
        <v>206</v>
      </c>
      <c r="CQ30" s="211">
        <f t="shared" si="252"/>
        <v>0</v>
      </c>
      <c r="CR30" s="211">
        <f t="shared" si="252"/>
        <v>1030</v>
      </c>
      <c r="CS30" s="211">
        <f t="shared" si="252"/>
        <v>0</v>
      </c>
      <c r="CT30" s="211">
        <f t="shared" si="252"/>
        <v>5150</v>
      </c>
      <c r="CU30" s="211">
        <f t="shared" si="252"/>
        <v>0</v>
      </c>
      <c r="CV30" s="211">
        <f t="shared" si="252"/>
        <v>206</v>
      </c>
      <c r="CW30" s="211">
        <f t="shared" si="252"/>
        <v>0</v>
      </c>
      <c r="CX30" s="211">
        <f t="shared" si="252"/>
        <v>1030</v>
      </c>
      <c r="CY30" s="211">
        <f t="shared" si="252"/>
        <v>0</v>
      </c>
      <c r="CZ30" s="421">
        <v>27</v>
      </c>
      <c r="DA30" s="24">
        <v>40000</v>
      </c>
      <c r="DB30" s="211">
        <f t="shared" si="13"/>
        <v>268600</v>
      </c>
      <c r="DC30" s="211"/>
      <c r="DD30" s="211">
        <f t="shared" si="14"/>
        <v>50</v>
      </c>
      <c r="DE30" s="211"/>
      <c r="DF30" s="211"/>
      <c r="DG30" s="211"/>
      <c r="DH30" s="265">
        <v>27</v>
      </c>
      <c r="DI30" s="230">
        <v>50000</v>
      </c>
      <c r="DJ30" s="211">
        <v>100000</v>
      </c>
      <c r="DK30" s="232">
        <v>200000</v>
      </c>
      <c r="DL30" s="265">
        <v>27</v>
      </c>
      <c r="DM30" s="230">
        <v>100000</v>
      </c>
      <c r="DN30" s="211">
        <v>150000</v>
      </c>
      <c r="DO30" s="232">
        <v>300000</v>
      </c>
      <c r="DP30" s="266">
        <v>27</v>
      </c>
      <c r="DQ30" s="211">
        <v>200000</v>
      </c>
      <c r="DR30" s="232">
        <v>400000</v>
      </c>
      <c r="DS30" s="265">
        <v>27</v>
      </c>
      <c r="DT30" s="211">
        <f t="shared" ref="DT30:DV30" si="253">DI30+DT29</f>
        <v>441000</v>
      </c>
      <c r="DU30" s="211">
        <f t="shared" si="253"/>
        <v>882000</v>
      </c>
      <c r="DV30" s="211">
        <f t="shared" si="253"/>
        <v>1764000</v>
      </c>
      <c r="DW30" s="211">
        <f t="shared" ref="DW30:DY30" si="254">DM30+DW29</f>
        <v>882000</v>
      </c>
      <c r="DX30" s="211">
        <f t="shared" si="254"/>
        <v>1323000</v>
      </c>
      <c r="DY30" s="211">
        <f t="shared" si="254"/>
        <v>2646000</v>
      </c>
      <c r="DZ30" s="211">
        <v>0</v>
      </c>
      <c r="EA30" s="211">
        <f t="shared" ref="EA30:EB30" si="255">DQ30+EA29</f>
        <v>1764000</v>
      </c>
      <c r="EB30" s="211">
        <f t="shared" si="255"/>
        <v>3528000</v>
      </c>
      <c r="EC30" s="428">
        <v>27</v>
      </c>
      <c r="ED30" s="211"/>
      <c r="EE30" s="211">
        <f t="shared" si="18"/>
        <v>0</v>
      </c>
      <c r="EF30" s="211"/>
      <c r="EG30" s="211"/>
      <c r="EH30" s="211"/>
      <c r="EI30" s="211"/>
      <c r="EJ30" s="211"/>
      <c r="EK30" s="211"/>
      <c r="EL30" s="211"/>
      <c r="EM30" s="211"/>
      <c r="EN30" s="211"/>
    </row>
    <row r="31" spans="1:144" ht="15.75" customHeight="1" x14ac:dyDescent="0.2">
      <c r="A31" s="421">
        <v>28</v>
      </c>
      <c r="B31" s="211">
        <v>180</v>
      </c>
      <c r="C31" s="211">
        <f t="shared" si="4"/>
        <v>2210</v>
      </c>
      <c r="D31" s="421">
        <v>28</v>
      </c>
      <c r="E31" s="211">
        <v>3326</v>
      </c>
      <c r="F31" s="211">
        <f t="shared" si="5"/>
        <v>32126</v>
      </c>
      <c r="G31" s="448" t="s">
        <v>372</v>
      </c>
      <c r="H31" s="141">
        <v>132000</v>
      </c>
      <c r="I31" s="141">
        <f t="shared" si="6"/>
        <v>1107880</v>
      </c>
      <c r="J31" s="141">
        <v>20000</v>
      </c>
      <c r="K31" s="141">
        <f t="shared" si="7"/>
        <v>134704</v>
      </c>
      <c r="L31" s="448" t="s">
        <v>373</v>
      </c>
      <c r="M31" s="173">
        <v>120000</v>
      </c>
      <c r="N31" s="173">
        <f t="shared" si="20"/>
        <v>2005000</v>
      </c>
      <c r="O31" s="173">
        <v>2000</v>
      </c>
      <c r="P31" s="173">
        <f t="shared" si="21"/>
        <v>40800</v>
      </c>
      <c r="Q31" s="8"/>
      <c r="R31" s="439"/>
      <c r="S31" s="426">
        <v>28</v>
      </c>
      <c r="T31" s="431">
        <v>12</v>
      </c>
      <c r="U31" s="432">
        <v>0</v>
      </c>
      <c r="V31" s="211">
        <v>48</v>
      </c>
      <c r="W31" s="211">
        <v>0</v>
      </c>
      <c r="X31" s="432">
        <v>240</v>
      </c>
      <c r="Y31" s="432">
        <v>0</v>
      </c>
      <c r="Z31" s="211">
        <v>10</v>
      </c>
      <c r="AA31" s="211">
        <v>0</v>
      </c>
      <c r="AB31" s="432">
        <v>50</v>
      </c>
      <c r="AC31" s="432">
        <v>0</v>
      </c>
      <c r="AD31" s="230">
        <v>16</v>
      </c>
      <c r="AE31" s="211">
        <v>0</v>
      </c>
      <c r="AF31" s="432">
        <v>64</v>
      </c>
      <c r="AG31" s="432">
        <v>0</v>
      </c>
      <c r="AH31" s="211">
        <v>320</v>
      </c>
      <c r="AI31" s="211">
        <v>0</v>
      </c>
      <c r="AJ31" s="69">
        <v>14</v>
      </c>
      <c r="AK31" s="69">
        <v>0</v>
      </c>
      <c r="AL31" s="435">
        <f t="shared" ref="AL31:AM31" si="256">AJ31*5</f>
        <v>70</v>
      </c>
      <c r="AM31" s="435">
        <f t="shared" si="256"/>
        <v>0</v>
      </c>
      <c r="AN31" s="432">
        <v>16</v>
      </c>
      <c r="AO31" s="432">
        <v>0</v>
      </c>
      <c r="AP31" s="432">
        <v>80</v>
      </c>
      <c r="AQ31" s="432">
        <v>0</v>
      </c>
      <c r="AR31" s="432">
        <v>400</v>
      </c>
      <c r="AS31" s="432">
        <v>0</v>
      </c>
      <c r="AT31" s="432">
        <v>16</v>
      </c>
      <c r="AU31" s="432">
        <v>0</v>
      </c>
      <c r="AV31" s="445">
        <v>80</v>
      </c>
      <c r="AW31" s="446">
        <v>0</v>
      </c>
      <c r="AX31" s="230">
        <v>16</v>
      </c>
      <c r="AY31" s="211">
        <v>0</v>
      </c>
      <c r="AZ31" s="432">
        <v>80</v>
      </c>
      <c r="BA31" s="432">
        <v>0</v>
      </c>
      <c r="BB31" s="211">
        <v>400</v>
      </c>
      <c r="BC31" s="211">
        <v>0</v>
      </c>
      <c r="BD31" s="432">
        <v>16</v>
      </c>
      <c r="BE31" s="432">
        <v>0</v>
      </c>
      <c r="BF31" s="432">
        <f t="shared" ref="BF31:BG31" si="257">BD31*5</f>
        <v>80</v>
      </c>
      <c r="BG31" s="433">
        <f t="shared" si="257"/>
        <v>0</v>
      </c>
      <c r="BH31" s="427">
        <v>28</v>
      </c>
      <c r="BI31" s="211">
        <f t="shared" ref="BI31:BR31" si="258">BI30+T31</f>
        <v>172</v>
      </c>
      <c r="BJ31" s="211">
        <f t="shared" si="258"/>
        <v>0</v>
      </c>
      <c r="BK31" s="211">
        <f t="shared" si="258"/>
        <v>688</v>
      </c>
      <c r="BL31" s="211">
        <f t="shared" si="258"/>
        <v>0</v>
      </c>
      <c r="BM31" s="211">
        <f t="shared" si="258"/>
        <v>3440</v>
      </c>
      <c r="BN31" s="211">
        <f t="shared" si="258"/>
        <v>0</v>
      </c>
      <c r="BO31" s="211">
        <f t="shared" si="258"/>
        <v>139</v>
      </c>
      <c r="BP31" s="211">
        <f t="shared" si="258"/>
        <v>0</v>
      </c>
      <c r="BQ31" s="211">
        <f t="shared" si="258"/>
        <v>695</v>
      </c>
      <c r="BR31" s="211">
        <f t="shared" si="258"/>
        <v>0</v>
      </c>
      <c r="BS31" s="427">
        <v>28</v>
      </c>
      <c r="BT31" s="211">
        <f t="shared" ref="BT31:CC31" si="259">BT30+AD31</f>
        <v>222</v>
      </c>
      <c r="BU31" s="211">
        <f t="shared" si="259"/>
        <v>0</v>
      </c>
      <c r="BV31" s="211">
        <f t="shared" si="259"/>
        <v>921</v>
      </c>
      <c r="BW31" s="211">
        <f t="shared" si="259"/>
        <v>0</v>
      </c>
      <c r="BX31" s="211">
        <f t="shared" si="259"/>
        <v>4605</v>
      </c>
      <c r="BY31" s="211">
        <f t="shared" si="259"/>
        <v>0</v>
      </c>
      <c r="BZ31" s="211">
        <f t="shared" si="259"/>
        <v>195</v>
      </c>
      <c r="CA31" s="211">
        <f t="shared" si="259"/>
        <v>0</v>
      </c>
      <c r="CB31" s="211">
        <f t="shared" si="259"/>
        <v>975</v>
      </c>
      <c r="CC31" s="211">
        <f t="shared" si="259"/>
        <v>0</v>
      </c>
      <c r="CD31" s="427">
        <v>28</v>
      </c>
      <c r="CE31" s="211">
        <f t="shared" ref="CE31:CN31" si="260">CE30+AN31</f>
        <v>222</v>
      </c>
      <c r="CF31" s="211">
        <f t="shared" si="260"/>
        <v>0</v>
      </c>
      <c r="CG31" s="211">
        <f t="shared" si="260"/>
        <v>1110</v>
      </c>
      <c r="CH31" s="211">
        <f t="shared" si="260"/>
        <v>0</v>
      </c>
      <c r="CI31" s="211">
        <f t="shared" si="260"/>
        <v>5550</v>
      </c>
      <c r="CJ31" s="211">
        <f t="shared" si="260"/>
        <v>0</v>
      </c>
      <c r="CK31" s="211">
        <f t="shared" si="260"/>
        <v>222</v>
      </c>
      <c r="CL31" s="211">
        <f t="shared" si="260"/>
        <v>0</v>
      </c>
      <c r="CM31" s="211">
        <f t="shared" si="260"/>
        <v>1110</v>
      </c>
      <c r="CN31" s="211">
        <f t="shared" si="260"/>
        <v>0</v>
      </c>
      <c r="CO31" s="427">
        <v>28</v>
      </c>
      <c r="CP31" s="211">
        <f t="shared" ref="CP31:CY31" si="261">CP30+AX31</f>
        <v>222</v>
      </c>
      <c r="CQ31" s="211">
        <f t="shared" si="261"/>
        <v>0</v>
      </c>
      <c r="CR31" s="211">
        <f t="shared" si="261"/>
        <v>1110</v>
      </c>
      <c r="CS31" s="211">
        <f t="shared" si="261"/>
        <v>0</v>
      </c>
      <c r="CT31" s="211">
        <f t="shared" si="261"/>
        <v>5550</v>
      </c>
      <c r="CU31" s="211">
        <f t="shared" si="261"/>
        <v>0</v>
      </c>
      <c r="CV31" s="211">
        <f t="shared" si="261"/>
        <v>222</v>
      </c>
      <c r="CW31" s="211">
        <f t="shared" si="261"/>
        <v>0</v>
      </c>
      <c r="CX31" s="211">
        <f t="shared" si="261"/>
        <v>1110</v>
      </c>
      <c r="CY31" s="211">
        <f t="shared" si="261"/>
        <v>0</v>
      </c>
      <c r="CZ31" s="421">
        <v>28</v>
      </c>
      <c r="DA31" s="24">
        <v>45000</v>
      </c>
      <c r="DB31" s="211">
        <f t="shared" si="13"/>
        <v>313600</v>
      </c>
      <c r="DC31" s="211"/>
      <c r="DD31" s="211">
        <f t="shared" si="14"/>
        <v>50</v>
      </c>
      <c r="DE31" s="211"/>
      <c r="DF31" s="211"/>
      <c r="DG31" s="211"/>
      <c r="DH31" s="265">
        <v>28</v>
      </c>
      <c r="DI31" s="230">
        <v>55000</v>
      </c>
      <c r="DJ31" s="211">
        <v>110000</v>
      </c>
      <c r="DK31" s="232">
        <v>220000</v>
      </c>
      <c r="DL31" s="265">
        <v>28</v>
      </c>
      <c r="DM31" s="230">
        <v>110000</v>
      </c>
      <c r="DN31" s="211">
        <v>165000</v>
      </c>
      <c r="DO31" s="232">
        <v>330000</v>
      </c>
      <c r="DP31" s="266">
        <v>28</v>
      </c>
      <c r="DQ31" s="211">
        <v>220000</v>
      </c>
      <c r="DR31" s="232">
        <v>440000</v>
      </c>
      <c r="DS31" s="265">
        <v>28</v>
      </c>
      <c r="DT31" s="211">
        <f t="shared" ref="DT31:DV31" si="262">DI31+DT30</f>
        <v>496000</v>
      </c>
      <c r="DU31" s="211">
        <f t="shared" si="262"/>
        <v>992000</v>
      </c>
      <c r="DV31" s="211">
        <f t="shared" si="262"/>
        <v>1984000</v>
      </c>
      <c r="DW31" s="211">
        <f t="shared" ref="DW31:DY31" si="263">DM31+DW30</f>
        <v>992000</v>
      </c>
      <c r="DX31" s="211">
        <f t="shared" si="263"/>
        <v>1488000</v>
      </c>
      <c r="DY31" s="211">
        <f t="shared" si="263"/>
        <v>2976000</v>
      </c>
      <c r="DZ31" s="211">
        <v>0</v>
      </c>
      <c r="EA31" s="211">
        <f t="shared" ref="EA31:EB31" si="264">DQ31+EA30</f>
        <v>1984000</v>
      </c>
      <c r="EB31" s="211">
        <f t="shared" si="264"/>
        <v>3968000</v>
      </c>
      <c r="EC31" s="428">
        <v>28</v>
      </c>
      <c r="ED31" s="211"/>
      <c r="EE31" s="211">
        <f t="shared" si="18"/>
        <v>0</v>
      </c>
      <c r="EF31" s="211"/>
      <c r="EG31" s="211"/>
      <c r="EH31" s="211"/>
      <c r="EI31" s="211"/>
      <c r="EJ31" s="211"/>
      <c r="EK31" s="211"/>
      <c r="EL31" s="211"/>
      <c r="EM31" s="211"/>
      <c r="EN31" s="211"/>
    </row>
    <row r="32" spans="1:144" ht="15.75" customHeight="1" x14ac:dyDescent="0.2">
      <c r="A32" s="421">
        <v>29</v>
      </c>
      <c r="B32" s="211">
        <v>190</v>
      </c>
      <c r="C32" s="211">
        <f t="shared" si="4"/>
        <v>2400</v>
      </c>
      <c r="D32" s="421">
        <v>29</v>
      </c>
      <c r="E32" s="211">
        <v>3581</v>
      </c>
      <c r="F32" s="211">
        <f t="shared" si="5"/>
        <v>35707</v>
      </c>
      <c r="G32" s="448" t="s">
        <v>374</v>
      </c>
      <c r="H32" s="449">
        <v>158000</v>
      </c>
      <c r="I32" s="449">
        <f t="shared" si="6"/>
        <v>1265880</v>
      </c>
      <c r="J32" s="449">
        <v>20000</v>
      </c>
      <c r="K32" s="449">
        <f t="shared" si="7"/>
        <v>154704</v>
      </c>
      <c r="L32" s="448" t="s">
        <v>375</v>
      </c>
      <c r="M32" s="69">
        <v>240000</v>
      </c>
      <c r="N32" s="69">
        <f t="shared" si="20"/>
        <v>2245000</v>
      </c>
      <c r="O32" s="69"/>
      <c r="P32" s="69">
        <f t="shared" si="21"/>
        <v>40800</v>
      </c>
      <c r="Q32" s="8"/>
      <c r="R32" s="439"/>
      <c r="S32" s="426">
        <v>29</v>
      </c>
      <c r="T32" s="431">
        <v>12</v>
      </c>
      <c r="U32" s="432">
        <v>0</v>
      </c>
      <c r="V32" s="211">
        <v>48</v>
      </c>
      <c r="W32" s="211">
        <v>0</v>
      </c>
      <c r="X32" s="432">
        <v>240</v>
      </c>
      <c r="Y32" s="432">
        <v>0</v>
      </c>
      <c r="Z32" s="432">
        <v>10</v>
      </c>
      <c r="AA32" s="432">
        <v>0</v>
      </c>
      <c r="AB32" s="432">
        <v>50</v>
      </c>
      <c r="AC32" s="432">
        <v>0</v>
      </c>
      <c r="AD32" s="230">
        <v>16</v>
      </c>
      <c r="AE32" s="211">
        <v>0</v>
      </c>
      <c r="AF32" s="432">
        <v>68</v>
      </c>
      <c r="AG32" s="432">
        <v>0</v>
      </c>
      <c r="AH32" s="211">
        <v>340</v>
      </c>
      <c r="AI32" s="211">
        <v>0</v>
      </c>
      <c r="AJ32" s="69">
        <v>16</v>
      </c>
      <c r="AK32" s="69">
        <v>0</v>
      </c>
      <c r="AL32" s="435">
        <f t="shared" ref="AL32:AM32" si="265">AJ32*5</f>
        <v>80</v>
      </c>
      <c r="AM32" s="435">
        <f t="shared" si="265"/>
        <v>0</v>
      </c>
      <c r="AN32" s="432">
        <v>16</v>
      </c>
      <c r="AO32" s="432">
        <v>0</v>
      </c>
      <c r="AP32" s="432">
        <v>80</v>
      </c>
      <c r="AQ32" s="432">
        <v>0</v>
      </c>
      <c r="AR32" s="211">
        <v>400</v>
      </c>
      <c r="AS32" s="211">
        <v>0</v>
      </c>
      <c r="AT32" s="432">
        <v>16</v>
      </c>
      <c r="AU32" s="432">
        <v>0</v>
      </c>
      <c r="AV32" s="445">
        <v>80</v>
      </c>
      <c r="AW32" s="446">
        <v>0</v>
      </c>
      <c r="AX32" s="230">
        <v>16</v>
      </c>
      <c r="AY32" s="211">
        <v>0</v>
      </c>
      <c r="AZ32" s="432">
        <v>80</v>
      </c>
      <c r="BA32" s="432">
        <v>0</v>
      </c>
      <c r="BB32" s="432">
        <v>400</v>
      </c>
      <c r="BC32" s="432">
        <v>0</v>
      </c>
      <c r="BD32" s="432">
        <v>16</v>
      </c>
      <c r="BE32" s="432">
        <v>0</v>
      </c>
      <c r="BF32" s="432">
        <f t="shared" ref="BF32:BG32" si="266">BD32*5</f>
        <v>80</v>
      </c>
      <c r="BG32" s="433">
        <f t="shared" si="266"/>
        <v>0</v>
      </c>
      <c r="BH32" s="427">
        <v>29</v>
      </c>
      <c r="BI32" s="211">
        <f t="shared" ref="BI32:BR32" si="267">BI31+T32</f>
        <v>184</v>
      </c>
      <c r="BJ32" s="211">
        <f t="shared" si="267"/>
        <v>0</v>
      </c>
      <c r="BK32" s="211">
        <f t="shared" si="267"/>
        <v>736</v>
      </c>
      <c r="BL32" s="211">
        <f t="shared" si="267"/>
        <v>0</v>
      </c>
      <c r="BM32" s="211">
        <f t="shared" si="267"/>
        <v>3680</v>
      </c>
      <c r="BN32" s="211">
        <f t="shared" si="267"/>
        <v>0</v>
      </c>
      <c r="BO32" s="211">
        <f t="shared" si="267"/>
        <v>149</v>
      </c>
      <c r="BP32" s="211">
        <f t="shared" si="267"/>
        <v>0</v>
      </c>
      <c r="BQ32" s="211">
        <f t="shared" si="267"/>
        <v>745</v>
      </c>
      <c r="BR32" s="211">
        <f t="shared" si="267"/>
        <v>0</v>
      </c>
      <c r="BS32" s="427">
        <v>29</v>
      </c>
      <c r="BT32" s="211">
        <f t="shared" ref="BT32:CC32" si="268">BT31+AD32</f>
        <v>238</v>
      </c>
      <c r="BU32" s="211">
        <f t="shared" si="268"/>
        <v>0</v>
      </c>
      <c r="BV32" s="211">
        <f t="shared" si="268"/>
        <v>989</v>
      </c>
      <c r="BW32" s="211">
        <f t="shared" si="268"/>
        <v>0</v>
      </c>
      <c r="BX32" s="211">
        <f t="shared" si="268"/>
        <v>4945</v>
      </c>
      <c r="BY32" s="211">
        <f t="shared" si="268"/>
        <v>0</v>
      </c>
      <c r="BZ32" s="211">
        <f t="shared" si="268"/>
        <v>211</v>
      </c>
      <c r="CA32" s="211">
        <f t="shared" si="268"/>
        <v>0</v>
      </c>
      <c r="CB32" s="211">
        <f t="shared" si="268"/>
        <v>1055</v>
      </c>
      <c r="CC32" s="211">
        <f t="shared" si="268"/>
        <v>0</v>
      </c>
      <c r="CD32" s="427">
        <v>29</v>
      </c>
      <c r="CE32" s="211">
        <f t="shared" ref="CE32:CN32" si="269">CE31+AN32</f>
        <v>238</v>
      </c>
      <c r="CF32" s="211">
        <f t="shared" si="269"/>
        <v>0</v>
      </c>
      <c r="CG32" s="211">
        <f t="shared" si="269"/>
        <v>1190</v>
      </c>
      <c r="CH32" s="211">
        <f t="shared" si="269"/>
        <v>0</v>
      </c>
      <c r="CI32" s="211">
        <f t="shared" si="269"/>
        <v>5950</v>
      </c>
      <c r="CJ32" s="211">
        <f t="shared" si="269"/>
        <v>0</v>
      </c>
      <c r="CK32" s="211">
        <f t="shared" si="269"/>
        <v>238</v>
      </c>
      <c r="CL32" s="211">
        <f t="shared" si="269"/>
        <v>0</v>
      </c>
      <c r="CM32" s="211">
        <f t="shared" si="269"/>
        <v>1190</v>
      </c>
      <c r="CN32" s="211">
        <f t="shared" si="269"/>
        <v>0</v>
      </c>
      <c r="CO32" s="427">
        <v>29</v>
      </c>
      <c r="CP32" s="211">
        <f t="shared" ref="CP32:CY32" si="270">CP31+AX32</f>
        <v>238</v>
      </c>
      <c r="CQ32" s="211">
        <f t="shared" si="270"/>
        <v>0</v>
      </c>
      <c r="CR32" s="211">
        <f t="shared" si="270"/>
        <v>1190</v>
      </c>
      <c r="CS32" s="211">
        <f t="shared" si="270"/>
        <v>0</v>
      </c>
      <c r="CT32" s="211">
        <f t="shared" si="270"/>
        <v>5950</v>
      </c>
      <c r="CU32" s="211">
        <f t="shared" si="270"/>
        <v>0</v>
      </c>
      <c r="CV32" s="211">
        <f t="shared" si="270"/>
        <v>238</v>
      </c>
      <c r="CW32" s="211">
        <f t="shared" si="270"/>
        <v>0</v>
      </c>
      <c r="CX32" s="211">
        <f t="shared" si="270"/>
        <v>1190</v>
      </c>
      <c r="CY32" s="211">
        <f t="shared" si="270"/>
        <v>0</v>
      </c>
      <c r="CZ32" s="421">
        <v>29</v>
      </c>
      <c r="DA32" s="24">
        <v>50000</v>
      </c>
      <c r="DB32" s="211">
        <f t="shared" si="13"/>
        <v>363600</v>
      </c>
      <c r="DC32" s="211"/>
      <c r="DD32" s="211">
        <f t="shared" si="14"/>
        <v>50</v>
      </c>
      <c r="DE32" s="211"/>
      <c r="DF32" s="211"/>
      <c r="DG32" s="211"/>
      <c r="DH32" s="265">
        <v>29</v>
      </c>
      <c r="DI32" s="230">
        <v>60000</v>
      </c>
      <c r="DJ32" s="211">
        <v>120000</v>
      </c>
      <c r="DK32" s="232">
        <v>240000</v>
      </c>
      <c r="DL32" s="265">
        <v>29</v>
      </c>
      <c r="DM32" s="230">
        <v>120000</v>
      </c>
      <c r="DN32" s="211">
        <v>180000</v>
      </c>
      <c r="DO32" s="232">
        <v>360000</v>
      </c>
      <c r="DP32" s="266">
        <v>29</v>
      </c>
      <c r="DQ32" s="211">
        <v>240000</v>
      </c>
      <c r="DR32" s="232">
        <v>480000</v>
      </c>
      <c r="DS32" s="265">
        <v>29</v>
      </c>
      <c r="DT32" s="211">
        <f t="shared" ref="DT32:DV32" si="271">DI32+DT31</f>
        <v>556000</v>
      </c>
      <c r="DU32" s="211">
        <f t="shared" si="271"/>
        <v>1112000</v>
      </c>
      <c r="DV32" s="211">
        <f t="shared" si="271"/>
        <v>2224000</v>
      </c>
      <c r="DW32" s="211">
        <f t="shared" ref="DW32:DY32" si="272">DM32+DW31</f>
        <v>1112000</v>
      </c>
      <c r="DX32" s="211">
        <f t="shared" si="272"/>
        <v>1668000</v>
      </c>
      <c r="DY32" s="211">
        <f t="shared" si="272"/>
        <v>3336000</v>
      </c>
      <c r="DZ32" s="211">
        <v>0</v>
      </c>
      <c r="EA32" s="211">
        <f t="shared" ref="EA32:EB32" si="273">DQ32+EA31</f>
        <v>2224000</v>
      </c>
      <c r="EB32" s="211">
        <f t="shared" si="273"/>
        <v>4448000</v>
      </c>
      <c r="EC32" s="428">
        <v>29</v>
      </c>
      <c r="ED32" s="211"/>
      <c r="EE32" s="211">
        <f t="shared" si="18"/>
        <v>0</v>
      </c>
      <c r="EF32" s="211"/>
      <c r="EG32" s="211"/>
      <c r="EH32" s="211"/>
      <c r="EI32" s="211"/>
      <c r="EJ32" s="211"/>
      <c r="EK32" s="211"/>
      <c r="EL32" s="211"/>
      <c r="EM32" s="211"/>
      <c r="EN32" s="211"/>
    </row>
    <row r="33" spans="1:144" ht="15.75" customHeight="1" x14ac:dyDescent="0.2">
      <c r="A33" s="421">
        <v>30</v>
      </c>
      <c r="B33" s="211">
        <v>200</v>
      </c>
      <c r="C33" s="211">
        <f t="shared" si="4"/>
        <v>2600</v>
      </c>
      <c r="D33" s="421">
        <v>30</v>
      </c>
      <c r="E33" s="211">
        <v>3847</v>
      </c>
      <c r="F33" s="211">
        <f t="shared" si="5"/>
        <v>39554</v>
      </c>
      <c r="G33" s="448" t="s">
        <v>376</v>
      </c>
      <c r="H33" s="449">
        <v>0</v>
      </c>
      <c r="I33" s="449">
        <f t="shared" si="6"/>
        <v>1265880</v>
      </c>
      <c r="J33" s="449"/>
      <c r="K33" s="449">
        <f t="shared" si="7"/>
        <v>154704</v>
      </c>
      <c r="L33" s="448" t="s">
        <v>377</v>
      </c>
      <c r="M33" s="69">
        <v>240000</v>
      </c>
      <c r="N33" s="69">
        <f t="shared" si="20"/>
        <v>2485000</v>
      </c>
      <c r="O33" s="69"/>
      <c r="P33" s="69">
        <f t="shared" si="21"/>
        <v>40800</v>
      </c>
      <c r="Q33" s="8"/>
      <c r="R33" s="439"/>
      <c r="S33" s="426">
        <v>30</v>
      </c>
      <c r="T33" s="431">
        <v>12</v>
      </c>
      <c r="U33" s="432">
        <v>1</v>
      </c>
      <c r="V33" s="211">
        <v>48</v>
      </c>
      <c r="W33" s="211">
        <v>4</v>
      </c>
      <c r="X33" s="211">
        <v>240</v>
      </c>
      <c r="Y33" s="211">
        <v>20</v>
      </c>
      <c r="Z33" s="437">
        <v>10</v>
      </c>
      <c r="AA33" s="437">
        <v>1</v>
      </c>
      <c r="AB33" s="437">
        <v>50</v>
      </c>
      <c r="AC33" s="437">
        <v>5</v>
      </c>
      <c r="AD33" s="230">
        <v>16</v>
      </c>
      <c r="AE33" s="211">
        <v>1</v>
      </c>
      <c r="AF33" s="211">
        <v>68</v>
      </c>
      <c r="AG33" s="211">
        <v>6</v>
      </c>
      <c r="AH33" s="211">
        <v>340</v>
      </c>
      <c r="AI33" s="211">
        <v>30</v>
      </c>
      <c r="AJ33" s="69">
        <v>16</v>
      </c>
      <c r="AK33" s="69">
        <v>1</v>
      </c>
      <c r="AL33" s="435">
        <f t="shared" ref="AL33:AM33" si="274">AJ33*5</f>
        <v>80</v>
      </c>
      <c r="AM33" s="435">
        <f t="shared" si="274"/>
        <v>5</v>
      </c>
      <c r="AN33" s="432">
        <v>16</v>
      </c>
      <c r="AO33" s="432">
        <v>1</v>
      </c>
      <c r="AP33" s="211">
        <v>80</v>
      </c>
      <c r="AQ33" s="211">
        <v>5</v>
      </c>
      <c r="AR33" s="432">
        <v>400</v>
      </c>
      <c r="AS33" s="432">
        <v>25</v>
      </c>
      <c r="AT33" s="432">
        <v>16</v>
      </c>
      <c r="AU33" s="432">
        <v>1</v>
      </c>
      <c r="AV33" s="445">
        <v>80</v>
      </c>
      <c r="AW33" s="446">
        <v>5</v>
      </c>
      <c r="AX33" s="230">
        <v>16</v>
      </c>
      <c r="AY33" s="211">
        <v>1</v>
      </c>
      <c r="AZ33" s="432">
        <v>80</v>
      </c>
      <c r="BA33" s="432">
        <v>5</v>
      </c>
      <c r="BB33" s="432">
        <v>400</v>
      </c>
      <c r="BC33" s="432">
        <v>25</v>
      </c>
      <c r="BD33" s="211">
        <v>16</v>
      </c>
      <c r="BE33" s="211">
        <v>1</v>
      </c>
      <c r="BF33" s="432">
        <f t="shared" ref="BF33:BG33" si="275">BD33*5</f>
        <v>80</v>
      </c>
      <c r="BG33" s="433">
        <f t="shared" si="275"/>
        <v>5</v>
      </c>
      <c r="BH33" s="427">
        <v>30</v>
      </c>
      <c r="BI33" s="211">
        <f t="shared" ref="BI33:BR33" si="276">BI32+T33</f>
        <v>196</v>
      </c>
      <c r="BJ33" s="211">
        <f t="shared" si="276"/>
        <v>1</v>
      </c>
      <c r="BK33" s="211">
        <f t="shared" si="276"/>
        <v>784</v>
      </c>
      <c r="BL33" s="211">
        <f t="shared" si="276"/>
        <v>4</v>
      </c>
      <c r="BM33" s="211">
        <f t="shared" si="276"/>
        <v>3920</v>
      </c>
      <c r="BN33" s="211">
        <f t="shared" si="276"/>
        <v>20</v>
      </c>
      <c r="BO33" s="211">
        <f t="shared" si="276"/>
        <v>159</v>
      </c>
      <c r="BP33" s="211">
        <f t="shared" si="276"/>
        <v>1</v>
      </c>
      <c r="BQ33" s="211">
        <f t="shared" si="276"/>
        <v>795</v>
      </c>
      <c r="BR33" s="211">
        <f t="shared" si="276"/>
        <v>5</v>
      </c>
      <c r="BS33" s="427">
        <v>30</v>
      </c>
      <c r="BT33" s="211">
        <f t="shared" ref="BT33:CC33" si="277">BT32+AD33</f>
        <v>254</v>
      </c>
      <c r="BU33" s="211">
        <f t="shared" si="277"/>
        <v>1</v>
      </c>
      <c r="BV33" s="211">
        <f t="shared" si="277"/>
        <v>1057</v>
      </c>
      <c r="BW33" s="211">
        <f t="shared" si="277"/>
        <v>6</v>
      </c>
      <c r="BX33" s="211">
        <f t="shared" si="277"/>
        <v>5285</v>
      </c>
      <c r="BY33" s="211">
        <f t="shared" si="277"/>
        <v>30</v>
      </c>
      <c r="BZ33" s="211">
        <f t="shared" si="277"/>
        <v>227</v>
      </c>
      <c r="CA33" s="211">
        <f t="shared" si="277"/>
        <v>1</v>
      </c>
      <c r="CB33" s="211">
        <f t="shared" si="277"/>
        <v>1135</v>
      </c>
      <c r="CC33" s="211">
        <f t="shared" si="277"/>
        <v>5</v>
      </c>
      <c r="CD33" s="427">
        <v>30</v>
      </c>
      <c r="CE33" s="211">
        <f t="shared" ref="CE33:CN33" si="278">CE32+AN33</f>
        <v>254</v>
      </c>
      <c r="CF33" s="211">
        <f t="shared" si="278"/>
        <v>1</v>
      </c>
      <c r="CG33" s="211">
        <f t="shared" si="278"/>
        <v>1270</v>
      </c>
      <c r="CH33" s="211">
        <f t="shared" si="278"/>
        <v>5</v>
      </c>
      <c r="CI33" s="211">
        <f t="shared" si="278"/>
        <v>6350</v>
      </c>
      <c r="CJ33" s="211">
        <f t="shared" si="278"/>
        <v>25</v>
      </c>
      <c r="CK33" s="211">
        <f t="shared" si="278"/>
        <v>254</v>
      </c>
      <c r="CL33" s="211">
        <f t="shared" si="278"/>
        <v>1</v>
      </c>
      <c r="CM33" s="211">
        <f t="shared" si="278"/>
        <v>1270</v>
      </c>
      <c r="CN33" s="211">
        <f t="shared" si="278"/>
        <v>5</v>
      </c>
      <c r="CO33" s="427">
        <v>30</v>
      </c>
      <c r="CP33" s="211">
        <f t="shared" ref="CP33:CY33" si="279">CP32+AX33</f>
        <v>254</v>
      </c>
      <c r="CQ33" s="211">
        <f t="shared" si="279"/>
        <v>1</v>
      </c>
      <c r="CR33" s="211">
        <f t="shared" si="279"/>
        <v>1270</v>
      </c>
      <c r="CS33" s="211">
        <f t="shared" si="279"/>
        <v>5</v>
      </c>
      <c r="CT33" s="211">
        <f t="shared" si="279"/>
        <v>6350</v>
      </c>
      <c r="CU33" s="211">
        <f t="shared" si="279"/>
        <v>25</v>
      </c>
      <c r="CV33" s="211">
        <f t="shared" si="279"/>
        <v>254</v>
      </c>
      <c r="CW33" s="211">
        <f t="shared" si="279"/>
        <v>1</v>
      </c>
      <c r="CX33" s="211">
        <f t="shared" si="279"/>
        <v>1270</v>
      </c>
      <c r="CY33" s="211">
        <f t="shared" si="279"/>
        <v>5</v>
      </c>
      <c r="CZ33" s="421">
        <v>30</v>
      </c>
      <c r="DA33" s="24">
        <v>65000</v>
      </c>
      <c r="DB33" s="211">
        <f t="shared" si="13"/>
        <v>428600</v>
      </c>
      <c r="DC33" s="211">
        <v>100</v>
      </c>
      <c r="DD33" s="211">
        <f t="shared" si="14"/>
        <v>150</v>
      </c>
      <c r="DE33" s="211"/>
      <c r="DF33" s="211"/>
      <c r="DG33" s="211"/>
      <c r="DH33" s="285">
        <v>30</v>
      </c>
      <c r="DI33" s="286">
        <v>62500</v>
      </c>
      <c r="DJ33" s="287">
        <v>125000</v>
      </c>
      <c r="DK33" s="288">
        <v>250000</v>
      </c>
      <c r="DL33" s="285">
        <v>30</v>
      </c>
      <c r="DM33" s="286">
        <v>125000</v>
      </c>
      <c r="DN33" s="287">
        <v>187500</v>
      </c>
      <c r="DO33" s="288">
        <v>375000</v>
      </c>
      <c r="DP33" s="289">
        <v>30</v>
      </c>
      <c r="DQ33" s="287">
        <v>250000</v>
      </c>
      <c r="DR33" s="288">
        <v>500000</v>
      </c>
      <c r="DS33" s="285">
        <v>30</v>
      </c>
      <c r="DT33" s="211">
        <f t="shared" ref="DT33:DV33" si="280">DI33+DT32</f>
        <v>618500</v>
      </c>
      <c r="DU33" s="211">
        <f t="shared" si="280"/>
        <v>1237000</v>
      </c>
      <c r="DV33" s="211">
        <f t="shared" si="280"/>
        <v>2474000</v>
      </c>
      <c r="DW33" s="211">
        <f t="shared" ref="DW33:DY33" si="281">DM33+DW32</f>
        <v>1237000</v>
      </c>
      <c r="DX33" s="211">
        <f t="shared" si="281"/>
        <v>1855500</v>
      </c>
      <c r="DY33" s="211">
        <f t="shared" si="281"/>
        <v>3711000</v>
      </c>
      <c r="DZ33" s="211">
        <v>0</v>
      </c>
      <c r="EA33" s="211">
        <f t="shared" ref="EA33:EB33" si="282">DQ33+EA32</f>
        <v>2474000</v>
      </c>
      <c r="EB33" s="211">
        <f t="shared" si="282"/>
        <v>4948000</v>
      </c>
      <c r="EC33" s="428">
        <v>30</v>
      </c>
      <c r="ED33" s="211">
        <v>1</v>
      </c>
      <c r="EE33" s="211">
        <f t="shared" si="18"/>
        <v>1</v>
      </c>
      <c r="EF33" s="211"/>
      <c r="EG33" s="211"/>
      <c r="EH33" s="211"/>
      <c r="EI33" s="211"/>
      <c r="EJ33" s="211"/>
      <c r="EK33" s="211"/>
      <c r="EL33" s="211"/>
      <c r="EM33" s="211"/>
      <c r="EN33" s="211"/>
    </row>
    <row r="34" spans="1:144" ht="15.75" customHeight="1" x14ac:dyDescent="0.2">
      <c r="A34" s="421">
        <v>31</v>
      </c>
      <c r="B34" s="211">
        <v>210</v>
      </c>
      <c r="C34" s="211">
        <f t="shared" si="4"/>
        <v>2810</v>
      </c>
      <c r="D34" s="421">
        <v>31</v>
      </c>
      <c r="E34" s="211">
        <v>4123</v>
      </c>
      <c r="F34" s="211">
        <f t="shared" si="5"/>
        <v>43677</v>
      </c>
      <c r="G34" s="448" t="s">
        <v>378</v>
      </c>
      <c r="H34" s="449">
        <v>0</v>
      </c>
      <c r="I34" s="449">
        <f t="shared" si="6"/>
        <v>1265880</v>
      </c>
      <c r="J34" s="449"/>
      <c r="K34" s="449">
        <f t="shared" si="7"/>
        <v>154704</v>
      </c>
      <c r="L34" s="448" t="s">
        <v>379</v>
      </c>
      <c r="M34" s="69">
        <v>240000</v>
      </c>
      <c r="N34" s="69">
        <f t="shared" si="20"/>
        <v>2725000</v>
      </c>
      <c r="O34" s="69"/>
      <c r="P34" s="69">
        <f t="shared" si="21"/>
        <v>40800</v>
      </c>
      <c r="Q34" s="8"/>
      <c r="R34" s="439"/>
      <c r="S34" s="426">
        <v>31</v>
      </c>
      <c r="T34" s="431">
        <v>14</v>
      </c>
      <c r="U34" s="432">
        <v>2</v>
      </c>
      <c r="V34" s="211">
        <v>56</v>
      </c>
      <c r="W34" s="211">
        <v>8</v>
      </c>
      <c r="X34" s="211">
        <v>280</v>
      </c>
      <c r="Y34" s="211">
        <v>40</v>
      </c>
      <c r="Z34" s="437">
        <v>11</v>
      </c>
      <c r="AA34" s="437">
        <v>2</v>
      </c>
      <c r="AB34" s="437">
        <v>55</v>
      </c>
      <c r="AC34" s="437">
        <v>10</v>
      </c>
      <c r="AD34" s="230">
        <v>18</v>
      </c>
      <c r="AE34" s="211">
        <v>2</v>
      </c>
      <c r="AF34" s="211">
        <v>72</v>
      </c>
      <c r="AG34" s="211">
        <v>8</v>
      </c>
      <c r="AH34" s="211">
        <v>360</v>
      </c>
      <c r="AI34" s="211">
        <v>40</v>
      </c>
      <c r="AJ34" s="69">
        <v>18</v>
      </c>
      <c r="AK34" s="69">
        <v>1</v>
      </c>
      <c r="AL34" s="435">
        <f t="shared" ref="AL34:AM34" si="283">AJ34*5</f>
        <v>90</v>
      </c>
      <c r="AM34" s="435">
        <f t="shared" si="283"/>
        <v>5</v>
      </c>
      <c r="AN34" s="432">
        <v>18</v>
      </c>
      <c r="AO34" s="432">
        <v>2</v>
      </c>
      <c r="AP34" s="432">
        <v>90</v>
      </c>
      <c r="AQ34" s="432">
        <v>10</v>
      </c>
      <c r="AR34" s="432">
        <v>450</v>
      </c>
      <c r="AS34" s="432">
        <v>50</v>
      </c>
      <c r="AT34" s="211">
        <v>18</v>
      </c>
      <c r="AU34" s="211">
        <v>2</v>
      </c>
      <c r="AV34" s="211">
        <v>90</v>
      </c>
      <c r="AW34" s="232">
        <v>10</v>
      </c>
      <c r="AX34" s="230">
        <v>18</v>
      </c>
      <c r="AY34" s="211">
        <v>2</v>
      </c>
      <c r="AZ34" s="432">
        <v>90</v>
      </c>
      <c r="BA34" s="432">
        <v>10</v>
      </c>
      <c r="BB34" s="432">
        <v>450</v>
      </c>
      <c r="BC34" s="432">
        <v>50</v>
      </c>
      <c r="BD34" s="432">
        <v>18</v>
      </c>
      <c r="BE34" s="432">
        <v>2</v>
      </c>
      <c r="BF34" s="432">
        <f t="shared" ref="BF34:BG34" si="284">BD34*5</f>
        <v>90</v>
      </c>
      <c r="BG34" s="433">
        <f t="shared" si="284"/>
        <v>10</v>
      </c>
      <c r="BH34" s="427">
        <v>31</v>
      </c>
      <c r="BI34" s="211">
        <f t="shared" ref="BI34:BR34" si="285">BI33+T34</f>
        <v>210</v>
      </c>
      <c r="BJ34" s="211">
        <f t="shared" si="285"/>
        <v>3</v>
      </c>
      <c r="BK34" s="211">
        <f t="shared" si="285"/>
        <v>840</v>
      </c>
      <c r="BL34" s="211">
        <f t="shared" si="285"/>
        <v>12</v>
      </c>
      <c r="BM34" s="211">
        <f t="shared" si="285"/>
        <v>4200</v>
      </c>
      <c r="BN34" s="211">
        <f t="shared" si="285"/>
        <v>60</v>
      </c>
      <c r="BO34" s="211">
        <f t="shared" si="285"/>
        <v>170</v>
      </c>
      <c r="BP34" s="211">
        <f t="shared" si="285"/>
        <v>3</v>
      </c>
      <c r="BQ34" s="211">
        <f t="shared" si="285"/>
        <v>850</v>
      </c>
      <c r="BR34" s="211">
        <f t="shared" si="285"/>
        <v>15</v>
      </c>
      <c r="BS34" s="427">
        <v>31</v>
      </c>
      <c r="BT34" s="211">
        <f t="shared" ref="BT34:CC34" si="286">BT33+AD34</f>
        <v>272</v>
      </c>
      <c r="BU34" s="211">
        <f t="shared" si="286"/>
        <v>3</v>
      </c>
      <c r="BV34" s="211">
        <f t="shared" si="286"/>
        <v>1129</v>
      </c>
      <c r="BW34" s="211">
        <f t="shared" si="286"/>
        <v>14</v>
      </c>
      <c r="BX34" s="211">
        <f t="shared" si="286"/>
        <v>5645</v>
      </c>
      <c r="BY34" s="211">
        <f t="shared" si="286"/>
        <v>70</v>
      </c>
      <c r="BZ34" s="211">
        <f t="shared" si="286"/>
        <v>245</v>
      </c>
      <c r="CA34" s="211">
        <f t="shared" si="286"/>
        <v>2</v>
      </c>
      <c r="CB34" s="211">
        <f t="shared" si="286"/>
        <v>1225</v>
      </c>
      <c r="CC34" s="211">
        <f t="shared" si="286"/>
        <v>10</v>
      </c>
      <c r="CD34" s="427">
        <v>31</v>
      </c>
      <c r="CE34" s="211">
        <f t="shared" ref="CE34:CN34" si="287">CE33+AN34</f>
        <v>272</v>
      </c>
      <c r="CF34" s="211">
        <f t="shared" si="287"/>
        <v>3</v>
      </c>
      <c r="CG34" s="211">
        <f t="shared" si="287"/>
        <v>1360</v>
      </c>
      <c r="CH34" s="211">
        <f t="shared" si="287"/>
        <v>15</v>
      </c>
      <c r="CI34" s="211">
        <f t="shared" si="287"/>
        <v>6800</v>
      </c>
      <c r="CJ34" s="211">
        <f t="shared" si="287"/>
        <v>75</v>
      </c>
      <c r="CK34" s="211">
        <f t="shared" si="287"/>
        <v>272</v>
      </c>
      <c r="CL34" s="211">
        <f t="shared" si="287"/>
        <v>3</v>
      </c>
      <c r="CM34" s="211">
        <f t="shared" si="287"/>
        <v>1360</v>
      </c>
      <c r="CN34" s="211">
        <f t="shared" si="287"/>
        <v>15</v>
      </c>
      <c r="CO34" s="427">
        <v>31</v>
      </c>
      <c r="CP34" s="211">
        <f t="shared" ref="CP34:CY34" si="288">CP33+AX34</f>
        <v>272</v>
      </c>
      <c r="CQ34" s="211">
        <f t="shared" si="288"/>
        <v>3</v>
      </c>
      <c r="CR34" s="211">
        <f t="shared" si="288"/>
        <v>1360</v>
      </c>
      <c r="CS34" s="211">
        <f t="shared" si="288"/>
        <v>15</v>
      </c>
      <c r="CT34" s="211">
        <f t="shared" si="288"/>
        <v>6800</v>
      </c>
      <c r="CU34" s="211">
        <f t="shared" si="288"/>
        <v>75</v>
      </c>
      <c r="CV34" s="211">
        <f t="shared" si="288"/>
        <v>272</v>
      </c>
      <c r="CW34" s="211">
        <f t="shared" si="288"/>
        <v>3</v>
      </c>
      <c r="CX34" s="211">
        <f t="shared" si="288"/>
        <v>1360</v>
      </c>
      <c r="CY34" s="211">
        <f t="shared" si="288"/>
        <v>15</v>
      </c>
      <c r="CZ34" s="421">
        <v>31</v>
      </c>
      <c r="DA34" s="24">
        <v>70000</v>
      </c>
      <c r="DB34" s="211">
        <f t="shared" si="13"/>
        <v>498600</v>
      </c>
      <c r="DC34" s="211"/>
      <c r="DD34" s="211">
        <f t="shared" si="14"/>
        <v>150</v>
      </c>
      <c r="DE34" s="211"/>
      <c r="DF34" s="211"/>
      <c r="DG34" s="211"/>
      <c r="DH34" s="285">
        <v>31</v>
      </c>
      <c r="DI34" s="286">
        <v>65000</v>
      </c>
      <c r="DJ34" s="287">
        <v>130000</v>
      </c>
      <c r="DK34" s="288">
        <v>260000</v>
      </c>
      <c r="DL34" s="285">
        <v>31</v>
      </c>
      <c r="DM34" s="286">
        <v>130000</v>
      </c>
      <c r="DN34" s="287">
        <v>195000</v>
      </c>
      <c r="DO34" s="288">
        <v>390000</v>
      </c>
      <c r="DP34" s="289">
        <v>31</v>
      </c>
      <c r="DQ34" s="287">
        <v>260000</v>
      </c>
      <c r="DR34" s="288">
        <v>520000</v>
      </c>
      <c r="DS34" s="285">
        <v>31</v>
      </c>
      <c r="DT34" s="211">
        <f t="shared" ref="DT34:DV34" si="289">DI34+DT33</f>
        <v>683500</v>
      </c>
      <c r="DU34" s="211">
        <f t="shared" si="289"/>
        <v>1367000</v>
      </c>
      <c r="DV34" s="211">
        <f t="shared" si="289"/>
        <v>2734000</v>
      </c>
      <c r="DW34" s="211">
        <f t="shared" ref="DW34:DY34" si="290">DM34+DW33</f>
        <v>1367000</v>
      </c>
      <c r="DX34" s="211">
        <f t="shared" si="290"/>
        <v>2050500</v>
      </c>
      <c r="DY34" s="211">
        <f t="shared" si="290"/>
        <v>4101000</v>
      </c>
      <c r="DZ34" s="211">
        <v>0</v>
      </c>
      <c r="EA34" s="211">
        <f t="shared" ref="EA34:EB34" si="291">DQ34+EA33</f>
        <v>2734000</v>
      </c>
      <c r="EB34" s="211">
        <f t="shared" si="291"/>
        <v>5468000</v>
      </c>
      <c r="EC34" s="428">
        <v>31</v>
      </c>
      <c r="ED34" s="211"/>
      <c r="EE34" s="211">
        <f t="shared" si="18"/>
        <v>1</v>
      </c>
      <c r="EF34" s="211"/>
      <c r="EG34" s="211"/>
      <c r="EH34" s="211"/>
      <c r="EI34" s="211"/>
      <c r="EJ34" s="211"/>
      <c r="EK34" s="211"/>
      <c r="EL34" s="211"/>
      <c r="EM34" s="211"/>
      <c r="EN34" s="211"/>
    </row>
    <row r="35" spans="1:144" ht="15.75" customHeight="1" x14ac:dyDescent="0.2">
      <c r="A35" s="421">
        <v>32</v>
      </c>
      <c r="B35" s="211">
        <v>220</v>
      </c>
      <c r="C35" s="211">
        <f t="shared" si="4"/>
        <v>3030</v>
      </c>
      <c r="D35" s="421">
        <v>32</v>
      </c>
      <c r="E35" s="211">
        <v>4409</v>
      </c>
      <c r="F35" s="211">
        <f t="shared" si="5"/>
        <v>48086</v>
      </c>
      <c r="G35" s="448" t="s">
        <v>380</v>
      </c>
      <c r="H35" s="449">
        <v>0</v>
      </c>
      <c r="I35" s="449">
        <f t="shared" si="6"/>
        <v>1265880</v>
      </c>
      <c r="J35" s="449"/>
      <c r="K35" s="449">
        <f t="shared" si="7"/>
        <v>154704</v>
      </c>
      <c r="L35" s="448" t="s">
        <v>381</v>
      </c>
      <c r="M35" s="69">
        <v>240000</v>
      </c>
      <c r="N35" s="69">
        <f t="shared" si="20"/>
        <v>2965000</v>
      </c>
      <c r="O35" s="69"/>
      <c r="P35" s="69">
        <f t="shared" si="21"/>
        <v>40800</v>
      </c>
      <c r="Q35" s="8"/>
      <c r="R35" s="439"/>
      <c r="S35" s="426">
        <v>32</v>
      </c>
      <c r="T35" s="431">
        <v>14</v>
      </c>
      <c r="U35" s="432">
        <v>2</v>
      </c>
      <c r="V35" s="211">
        <v>56</v>
      </c>
      <c r="W35" s="211">
        <v>8</v>
      </c>
      <c r="X35" s="432">
        <v>280</v>
      </c>
      <c r="Y35" s="432">
        <v>40</v>
      </c>
      <c r="Z35" s="437">
        <v>11</v>
      </c>
      <c r="AA35" s="437">
        <v>2</v>
      </c>
      <c r="AB35" s="437">
        <v>55</v>
      </c>
      <c r="AC35" s="437">
        <v>10</v>
      </c>
      <c r="AD35" s="230">
        <v>18</v>
      </c>
      <c r="AE35" s="211">
        <v>2</v>
      </c>
      <c r="AF35" s="211">
        <v>80</v>
      </c>
      <c r="AG35" s="211">
        <v>8</v>
      </c>
      <c r="AH35" s="211">
        <v>400</v>
      </c>
      <c r="AI35" s="211">
        <v>40</v>
      </c>
      <c r="AJ35" s="69">
        <v>18</v>
      </c>
      <c r="AK35" s="69">
        <v>2</v>
      </c>
      <c r="AL35" s="435">
        <f t="shared" ref="AL35:AM35" si="292">AJ35*5</f>
        <v>90</v>
      </c>
      <c r="AM35" s="435">
        <f t="shared" si="292"/>
        <v>10</v>
      </c>
      <c r="AN35" s="432">
        <v>18</v>
      </c>
      <c r="AO35" s="432">
        <v>2</v>
      </c>
      <c r="AP35" s="432">
        <v>90</v>
      </c>
      <c r="AQ35" s="432">
        <v>10</v>
      </c>
      <c r="AR35" s="432">
        <v>450</v>
      </c>
      <c r="AS35" s="432">
        <v>50</v>
      </c>
      <c r="AT35" s="211">
        <v>18</v>
      </c>
      <c r="AU35" s="211">
        <v>2</v>
      </c>
      <c r="AV35" s="445">
        <v>90</v>
      </c>
      <c r="AW35" s="446">
        <v>10</v>
      </c>
      <c r="AX35" s="230">
        <v>18</v>
      </c>
      <c r="AY35" s="211">
        <v>2</v>
      </c>
      <c r="AZ35" s="432">
        <v>90</v>
      </c>
      <c r="BA35" s="432">
        <v>10</v>
      </c>
      <c r="BB35" s="432">
        <v>450</v>
      </c>
      <c r="BC35" s="432">
        <v>50</v>
      </c>
      <c r="BD35" s="432">
        <v>18</v>
      </c>
      <c r="BE35" s="432">
        <v>2</v>
      </c>
      <c r="BF35" s="432">
        <f t="shared" ref="BF35:BG35" si="293">BD35*5</f>
        <v>90</v>
      </c>
      <c r="BG35" s="433">
        <f t="shared" si="293"/>
        <v>10</v>
      </c>
      <c r="BH35" s="427">
        <v>32</v>
      </c>
      <c r="BI35" s="211">
        <f t="shared" ref="BI35:BR35" si="294">BI34+T35</f>
        <v>224</v>
      </c>
      <c r="BJ35" s="211">
        <f t="shared" si="294"/>
        <v>5</v>
      </c>
      <c r="BK35" s="211">
        <f t="shared" si="294"/>
        <v>896</v>
      </c>
      <c r="BL35" s="211">
        <f t="shared" si="294"/>
        <v>20</v>
      </c>
      <c r="BM35" s="211">
        <f t="shared" si="294"/>
        <v>4480</v>
      </c>
      <c r="BN35" s="211">
        <f t="shared" si="294"/>
        <v>100</v>
      </c>
      <c r="BO35" s="211">
        <f t="shared" si="294"/>
        <v>181</v>
      </c>
      <c r="BP35" s="211">
        <f t="shared" si="294"/>
        <v>5</v>
      </c>
      <c r="BQ35" s="211">
        <f t="shared" si="294"/>
        <v>905</v>
      </c>
      <c r="BR35" s="211">
        <f t="shared" si="294"/>
        <v>25</v>
      </c>
      <c r="BS35" s="427">
        <v>32</v>
      </c>
      <c r="BT35" s="211">
        <f t="shared" ref="BT35:CC35" si="295">BT34+AD35</f>
        <v>290</v>
      </c>
      <c r="BU35" s="211">
        <f t="shared" si="295"/>
        <v>5</v>
      </c>
      <c r="BV35" s="211">
        <f t="shared" si="295"/>
        <v>1209</v>
      </c>
      <c r="BW35" s="211">
        <f t="shared" si="295"/>
        <v>22</v>
      </c>
      <c r="BX35" s="211">
        <f t="shared" si="295"/>
        <v>6045</v>
      </c>
      <c r="BY35" s="211">
        <f t="shared" si="295"/>
        <v>110</v>
      </c>
      <c r="BZ35" s="211">
        <f t="shared" si="295"/>
        <v>263</v>
      </c>
      <c r="CA35" s="211">
        <f t="shared" si="295"/>
        <v>4</v>
      </c>
      <c r="CB35" s="211">
        <f t="shared" si="295"/>
        <v>1315</v>
      </c>
      <c r="CC35" s="211">
        <f t="shared" si="295"/>
        <v>20</v>
      </c>
      <c r="CD35" s="427">
        <v>32</v>
      </c>
      <c r="CE35" s="211">
        <f t="shared" ref="CE35:CN35" si="296">CE34+AN35</f>
        <v>290</v>
      </c>
      <c r="CF35" s="211">
        <f t="shared" si="296"/>
        <v>5</v>
      </c>
      <c r="CG35" s="211">
        <f t="shared" si="296"/>
        <v>1450</v>
      </c>
      <c r="CH35" s="211">
        <f t="shared" si="296"/>
        <v>25</v>
      </c>
      <c r="CI35" s="211">
        <f t="shared" si="296"/>
        <v>7250</v>
      </c>
      <c r="CJ35" s="211">
        <f t="shared" si="296"/>
        <v>125</v>
      </c>
      <c r="CK35" s="211">
        <f t="shared" si="296"/>
        <v>290</v>
      </c>
      <c r="CL35" s="211">
        <f t="shared" si="296"/>
        <v>5</v>
      </c>
      <c r="CM35" s="211">
        <f t="shared" si="296"/>
        <v>1450</v>
      </c>
      <c r="CN35" s="211">
        <f t="shared" si="296"/>
        <v>25</v>
      </c>
      <c r="CO35" s="427">
        <v>32</v>
      </c>
      <c r="CP35" s="211">
        <f t="shared" ref="CP35:CY35" si="297">CP34+AX35</f>
        <v>290</v>
      </c>
      <c r="CQ35" s="211">
        <f t="shared" si="297"/>
        <v>5</v>
      </c>
      <c r="CR35" s="211">
        <f t="shared" si="297"/>
        <v>1450</v>
      </c>
      <c r="CS35" s="211">
        <f t="shared" si="297"/>
        <v>25</v>
      </c>
      <c r="CT35" s="211">
        <f t="shared" si="297"/>
        <v>7250</v>
      </c>
      <c r="CU35" s="211">
        <f t="shared" si="297"/>
        <v>125</v>
      </c>
      <c r="CV35" s="211">
        <f t="shared" si="297"/>
        <v>290</v>
      </c>
      <c r="CW35" s="211">
        <f t="shared" si="297"/>
        <v>5</v>
      </c>
      <c r="CX35" s="211">
        <f t="shared" si="297"/>
        <v>1450</v>
      </c>
      <c r="CY35" s="211">
        <f t="shared" si="297"/>
        <v>25</v>
      </c>
      <c r="CZ35" s="421">
        <v>32</v>
      </c>
      <c r="DA35" s="24">
        <v>75000</v>
      </c>
      <c r="DB35" s="211">
        <f t="shared" si="13"/>
        <v>573600</v>
      </c>
      <c r="DC35" s="211"/>
      <c r="DD35" s="211">
        <f t="shared" si="14"/>
        <v>150</v>
      </c>
      <c r="DE35" s="211"/>
      <c r="DF35" s="211"/>
      <c r="DG35" s="211"/>
      <c r="DH35" s="285">
        <v>32</v>
      </c>
      <c r="DI35" s="286">
        <v>67500</v>
      </c>
      <c r="DJ35" s="287">
        <v>135000</v>
      </c>
      <c r="DK35" s="288">
        <v>270000</v>
      </c>
      <c r="DL35" s="285">
        <v>32</v>
      </c>
      <c r="DM35" s="286">
        <v>135000</v>
      </c>
      <c r="DN35" s="287">
        <v>202500</v>
      </c>
      <c r="DO35" s="288">
        <v>405000</v>
      </c>
      <c r="DP35" s="289">
        <v>32</v>
      </c>
      <c r="DQ35" s="287">
        <v>270000</v>
      </c>
      <c r="DR35" s="288">
        <v>540000</v>
      </c>
      <c r="DS35" s="285">
        <v>32</v>
      </c>
      <c r="DT35" s="211">
        <f t="shared" ref="DT35:DV35" si="298">DI35+DT34</f>
        <v>751000</v>
      </c>
      <c r="DU35" s="211">
        <f t="shared" si="298"/>
        <v>1502000</v>
      </c>
      <c r="DV35" s="211">
        <f t="shared" si="298"/>
        <v>3004000</v>
      </c>
      <c r="DW35" s="211">
        <f t="shared" ref="DW35:DY35" si="299">DM35+DW34</f>
        <v>1502000</v>
      </c>
      <c r="DX35" s="211">
        <f t="shared" si="299"/>
        <v>2253000</v>
      </c>
      <c r="DY35" s="211">
        <f t="shared" si="299"/>
        <v>4506000</v>
      </c>
      <c r="DZ35" s="211">
        <v>0</v>
      </c>
      <c r="EA35" s="211">
        <f t="shared" ref="EA35:EB35" si="300">DQ35+EA34</f>
        <v>3004000</v>
      </c>
      <c r="EB35" s="211">
        <f t="shared" si="300"/>
        <v>6008000</v>
      </c>
      <c r="EC35" s="428">
        <v>32</v>
      </c>
      <c r="ED35" s="211"/>
      <c r="EE35" s="211">
        <f t="shared" si="18"/>
        <v>1</v>
      </c>
      <c r="EF35" s="211"/>
      <c r="EG35" s="211"/>
      <c r="EH35" s="211"/>
      <c r="EI35" s="211"/>
      <c r="EJ35" s="211"/>
      <c r="EK35" s="211"/>
      <c r="EL35" s="211"/>
      <c r="EM35" s="211"/>
      <c r="EN35" s="211"/>
    </row>
    <row r="36" spans="1:144" ht="15.75" customHeight="1" x14ac:dyDescent="0.2">
      <c r="A36" s="421">
        <v>33</v>
      </c>
      <c r="B36" s="211">
        <v>230</v>
      </c>
      <c r="C36" s="211">
        <f t="shared" si="4"/>
        <v>3260</v>
      </c>
      <c r="D36" s="421">
        <v>33</v>
      </c>
      <c r="E36" s="211">
        <v>4706</v>
      </c>
      <c r="F36" s="211">
        <f t="shared" si="5"/>
        <v>52792</v>
      </c>
      <c r="G36" s="448" t="s">
        <v>382</v>
      </c>
      <c r="H36" s="449">
        <v>0</v>
      </c>
      <c r="I36" s="449">
        <f t="shared" si="6"/>
        <v>1265880</v>
      </c>
      <c r="J36" s="449"/>
      <c r="K36" s="449">
        <f t="shared" si="7"/>
        <v>154704</v>
      </c>
      <c r="L36" s="448" t="s">
        <v>383</v>
      </c>
      <c r="M36" s="69">
        <v>240000</v>
      </c>
      <c r="N36" s="69">
        <f t="shared" si="20"/>
        <v>3205000</v>
      </c>
      <c r="O36" s="69"/>
      <c r="P36" s="69">
        <f t="shared" si="21"/>
        <v>40800</v>
      </c>
      <c r="Q36" s="8"/>
      <c r="R36" s="439"/>
      <c r="S36" s="426">
        <v>33</v>
      </c>
      <c r="T36" s="431">
        <v>15</v>
      </c>
      <c r="U36" s="432">
        <v>2</v>
      </c>
      <c r="V36" s="211">
        <v>60</v>
      </c>
      <c r="W36" s="211">
        <v>8</v>
      </c>
      <c r="X36" s="432">
        <v>300</v>
      </c>
      <c r="Y36" s="432">
        <v>40</v>
      </c>
      <c r="Z36" s="69">
        <v>12</v>
      </c>
      <c r="AA36" s="69">
        <v>2</v>
      </c>
      <c r="AB36" s="437">
        <v>60</v>
      </c>
      <c r="AC36" s="437">
        <v>10</v>
      </c>
      <c r="AD36" s="230">
        <v>20</v>
      </c>
      <c r="AE36" s="211">
        <v>2</v>
      </c>
      <c r="AF36" s="69">
        <v>80</v>
      </c>
      <c r="AG36" s="69">
        <v>10</v>
      </c>
      <c r="AH36" s="211">
        <v>400</v>
      </c>
      <c r="AI36" s="211">
        <v>50</v>
      </c>
      <c r="AJ36" s="69">
        <v>20</v>
      </c>
      <c r="AK36" s="69">
        <v>2</v>
      </c>
      <c r="AL36" s="435">
        <f t="shared" ref="AL36:AM36" si="301">AJ36*5</f>
        <v>100</v>
      </c>
      <c r="AM36" s="435">
        <f t="shared" si="301"/>
        <v>10</v>
      </c>
      <c r="AN36" s="432">
        <v>20</v>
      </c>
      <c r="AO36" s="432">
        <v>2</v>
      </c>
      <c r="AP36" s="432">
        <v>100</v>
      </c>
      <c r="AQ36" s="432">
        <v>10</v>
      </c>
      <c r="AR36" s="211">
        <v>500</v>
      </c>
      <c r="AS36" s="211">
        <v>50</v>
      </c>
      <c r="AT36" s="211">
        <v>20</v>
      </c>
      <c r="AU36" s="211">
        <v>2</v>
      </c>
      <c r="AV36" s="445">
        <v>100</v>
      </c>
      <c r="AW36" s="446">
        <v>10</v>
      </c>
      <c r="AX36" s="230">
        <v>20</v>
      </c>
      <c r="AY36" s="211">
        <v>2</v>
      </c>
      <c r="AZ36" s="432">
        <v>100</v>
      </c>
      <c r="BA36" s="432">
        <v>10</v>
      </c>
      <c r="BB36" s="432">
        <v>500</v>
      </c>
      <c r="BC36" s="432">
        <v>50</v>
      </c>
      <c r="BD36" s="432">
        <v>20</v>
      </c>
      <c r="BE36" s="432">
        <v>2</v>
      </c>
      <c r="BF36" s="432">
        <f t="shared" ref="BF36:BG36" si="302">BD36*5</f>
        <v>100</v>
      </c>
      <c r="BG36" s="433">
        <f t="shared" si="302"/>
        <v>10</v>
      </c>
      <c r="BH36" s="427">
        <v>33</v>
      </c>
      <c r="BI36" s="211">
        <f t="shared" ref="BI36:BR36" si="303">BI35+T36</f>
        <v>239</v>
      </c>
      <c r="BJ36" s="211">
        <f t="shared" si="303"/>
        <v>7</v>
      </c>
      <c r="BK36" s="211">
        <f t="shared" si="303"/>
        <v>956</v>
      </c>
      <c r="BL36" s="211">
        <f t="shared" si="303"/>
        <v>28</v>
      </c>
      <c r="BM36" s="211">
        <f t="shared" si="303"/>
        <v>4780</v>
      </c>
      <c r="BN36" s="211">
        <f t="shared" si="303"/>
        <v>140</v>
      </c>
      <c r="BO36" s="211">
        <f t="shared" si="303"/>
        <v>193</v>
      </c>
      <c r="BP36" s="211">
        <f t="shared" si="303"/>
        <v>7</v>
      </c>
      <c r="BQ36" s="211">
        <f t="shared" si="303"/>
        <v>965</v>
      </c>
      <c r="BR36" s="211">
        <f t="shared" si="303"/>
        <v>35</v>
      </c>
      <c r="BS36" s="427">
        <v>33</v>
      </c>
      <c r="BT36" s="211">
        <f t="shared" ref="BT36:CC36" si="304">BT35+AD36</f>
        <v>310</v>
      </c>
      <c r="BU36" s="211">
        <f t="shared" si="304"/>
        <v>7</v>
      </c>
      <c r="BV36" s="211">
        <f t="shared" si="304"/>
        <v>1289</v>
      </c>
      <c r="BW36" s="211">
        <f t="shared" si="304"/>
        <v>32</v>
      </c>
      <c r="BX36" s="211">
        <f t="shared" si="304"/>
        <v>6445</v>
      </c>
      <c r="BY36" s="211">
        <f t="shared" si="304"/>
        <v>160</v>
      </c>
      <c r="BZ36" s="211">
        <f t="shared" si="304"/>
        <v>283</v>
      </c>
      <c r="CA36" s="211">
        <f t="shared" si="304"/>
        <v>6</v>
      </c>
      <c r="CB36" s="211">
        <f t="shared" si="304"/>
        <v>1415</v>
      </c>
      <c r="CC36" s="211">
        <f t="shared" si="304"/>
        <v>30</v>
      </c>
      <c r="CD36" s="427">
        <v>33</v>
      </c>
      <c r="CE36" s="211">
        <f t="shared" ref="CE36:CN36" si="305">CE35+AN36</f>
        <v>310</v>
      </c>
      <c r="CF36" s="211">
        <f t="shared" si="305"/>
        <v>7</v>
      </c>
      <c r="CG36" s="211">
        <f t="shared" si="305"/>
        <v>1550</v>
      </c>
      <c r="CH36" s="211">
        <f t="shared" si="305"/>
        <v>35</v>
      </c>
      <c r="CI36" s="211">
        <f t="shared" si="305"/>
        <v>7750</v>
      </c>
      <c r="CJ36" s="211">
        <f t="shared" si="305"/>
        <v>175</v>
      </c>
      <c r="CK36" s="211">
        <f t="shared" si="305"/>
        <v>310</v>
      </c>
      <c r="CL36" s="211">
        <f t="shared" si="305"/>
        <v>7</v>
      </c>
      <c r="CM36" s="211">
        <f t="shared" si="305"/>
        <v>1550</v>
      </c>
      <c r="CN36" s="211">
        <f t="shared" si="305"/>
        <v>35</v>
      </c>
      <c r="CO36" s="427">
        <v>33</v>
      </c>
      <c r="CP36" s="211">
        <f t="shared" ref="CP36:CY36" si="306">CP35+AX36</f>
        <v>310</v>
      </c>
      <c r="CQ36" s="211">
        <f t="shared" si="306"/>
        <v>7</v>
      </c>
      <c r="CR36" s="211">
        <f t="shared" si="306"/>
        <v>1550</v>
      </c>
      <c r="CS36" s="211">
        <f t="shared" si="306"/>
        <v>35</v>
      </c>
      <c r="CT36" s="211">
        <f t="shared" si="306"/>
        <v>7750</v>
      </c>
      <c r="CU36" s="211">
        <f t="shared" si="306"/>
        <v>175</v>
      </c>
      <c r="CV36" s="211">
        <f t="shared" si="306"/>
        <v>310</v>
      </c>
      <c r="CW36" s="211">
        <f t="shared" si="306"/>
        <v>7</v>
      </c>
      <c r="CX36" s="211">
        <f t="shared" si="306"/>
        <v>1550</v>
      </c>
      <c r="CY36" s="211">
        <f t="shared" si="306"/>
        <v>35</v>
      </c>
      <c r="CZ36" s="421">
        <v>33</v>
      </c>
      <c r="DA36" s="24">
        <v>80000</v>
      </c>
      <c r="DB36" s="211">
        <f t="shared" si="13"/>
        <v>653600</v>
      </c>
      <c r="DC36" s="211"/>
      <c r="DD36" s="211">
        <f t="shared" si="14"/>
        <v>150</v>
      </c>
      <c r="DE36" s="211"/>
      <c r="DF36" s="211"/>
      <c r="DG36" s="211"/>
      <c r="DH36" s="285">
        <v>33</v>
      </c>
      <c r="DI36" s="286">
        <v>70000</v>
      </c>
      <c r="DJ36" s="287">
        <v>140000</v>
      </c>
      <c r="DK36" s="288">
        <v>280000</v>
      </c>
      <c r="DL36" s="285">
        <v>33</v>
      </c>
      <c r="DM36" s="286">
        <v>140000</v>
      </c>
      <c r="DN36" s="287">
        <v>210000</v>
      </c>
      <c r="DO36" s="288">
        <v>420000</v>
      </c>
      <c r="DP36" s="289">
        <v>33</v>
      </c>
      <c r="DQ36" s="287">
        <v>280000</v>
      </c>
      <c r="DR36" s="288">
        <v>560000</v>
      </c>
      <c r="DS36" s="285">
        <v>33</v>
      </c>
      <c r="DT36" s="211">
        <f t="shared" ref="DT36:DV36" si="307">DI36+DT35</f>
        <v>821000</v>
      </c>
      <c r="DU36" s="211">
        <f t="shared" si="307"/>
        <v>1642000</v>
      </c>
      <c r="DV36" s="211">
        <f t="shared" si="307"/>
        <v>3284000</v>
      </c>
      <c r="DW36" s="211">
        <f t="shared" ref="DW36:DY36" si="308">DM36+DW35</f>
        <v>1642000</v>
      </c>
      <c r="DX36" s="211">
        <f t="shared" si="308"/>
        <v>2463000</v>
      </c>
      <c r="DY36" s="211">
        <f t="shared" si="308"/>
        <v>4926000</v>
      </c>
      <c r="DZ36" s="211">
        <v>0</v>
      </c>
      <c r="EA36" s="211">
        <f t="shared" ref="EA36:EB36" si="309">DQ36+EA35</f>
        <v>3284000</v>
      </c>
      <c r="EB36" s="211">
        <f t="shared" si="309"/>
        <v>6568000</v>
      </c>
      <c r="EC36" s="428">
        <v>33</v>
      </c>
      <c r="ED36" s="211"/>
      <c r="EE36" s="211">
        <f t="shared" si="18"/>
        <v>1</v>
      </c>
      <c r="EF36" s="211"/>
      <c r="EG36" s="211"/>
      <c r="EH36" s="211"/>
      <c r="EI36" s="211"/>
      <c r="EJ36" s="211"/>
      <c r="EK36" s="211"/>
      <c r="EL36" s="211"/>
      <c r="EM36" s="211"/>
      <c r="EN36" s="211"/>
    </row>
    <row r="37" spans="1:144" ht="15.75" customHeight="1" x14ac:dyDescent="0.2">
      <c r="A37" s="421">
        <v>34</v>
      </c>
      <c r="B37" s="211">
        <v>240</v>
      </c>
      <c r="C37" s="211">
        <f t="shared" si="4"/>
        <v>3500</v>
      </c>
      <c r="D37" s="421">
        <v>34</v>
      </c>
      <c r="E37" s="211">
        <v>5013</v>
      </c>
      <c r="F37" s="211">
        <f t="shared" si="5"/>
        <v>57805</v>
      </c>
      <c r="G37" s="211"/>
      <c r="H37" s="449">
        <v>0</v>
      </c>
      <c r="I37" s="449">
        <f t="shared" si="6"/>
        <v>1265880</v>
      </c>
      <c r="J37" s="449"/>
      <c r="K37" s="449">
        <f t="shared" si="7"/>
        <v>154704</v>
      </c>
      <c r="L37" s="448" t="s">
        <v>384</v>
      </c>
      <c r="M37" s="69">
        <v>240000</v>
      </c>
      <c r="N37" s="69">
        <f t="shared" si="20"/>
        <v>3445000</v>
      </c>
      <c r="O37" s="69"/>
      <c r="P37" s="69">
        <f t="shared" si="21"/>
        <v>40800</v>
      </c>
      <c r="Q37" s="8"/>
      <c r="R37" s="439"/>
      <c r="S37" s="426">
        <v>34</v>
      </c>
      <c r="T37" s="431">
        <v>15</v>
      </c>
      <c r="U37" s="432">
        <v>2</v>
      </c>
      <c r="V37" s="211">
        <v>60</v>
      </c>
      <c r="W37" s="211">
        <v>8</v>
      </c>
      <c r="X37" s="432">
        <v>300</v>
      </c>
      <c r="Y37" s="432">
        <v>40</v>
      </c>
      <c r="Z37" s="437">
        <v>12</v>
      </c>
      <c r="AA37" s="437">
        <v>2</v>
      </c>
      <c r="AB37" s="437">
        <v>60</v>
      </c>
      <c r="AC37" s="437">
        <v>10</v>
      </c>
      <c r="AD37" s="230">
        <v>20</v>
      </c>
      <c r="AE37" s="211">
        <v>2</v>
      </c>
      <c r="AF37" s="211">
        <v>80</v>
      </c>
      <c r="AG37" s="211">
        <v>10</v>
      </c>
      <c r="AH37" s="211">
        <v>400</v>
      </c>
      <c r="AI37" s="211">
        <v>50</v>
      </c>
      <c r="AJ37" s="69">
        <v>20</v>
      </c>
      <c r="AK37" s="69">
        <v>2</v>
      </c>
      <c r="AL37" s="435">
        <f t="shared" ref="AL37:AM37" si="310">AJ37*5</f>
        <v>100</v>
      </c>
      <c r="AM37" s="435">
        <f t="shared" si="310"/>
        <v>10</v>
      </c>
      <c r="AN37" s="432">
        <v>20</v>
      </c>
      <c r="AO37" s="432">
        <v>2</v>
      </c>
      <c r="AP37" s="432">
        <v>100</v>
      </c>
      <c r="AQ37" s="432">
        <v>10</v>
      </c>
      <c r="AR37" s="432">
        <v>500</v>
      </c>
      <c r="AS37" s="432">
        <v>50</v>
      </c>
      <c r="AT37" s="211">
        <v>20</v>
      </c>
      <c r="AU37" s="211">
        <v>2</v>
      </c>
      <c r="AV37" s="445">
        <v>100</v>
      </c>
      <c r="AW37" s="446">
        <v>10</v>
      </c>
      <c r="AX37" s="230">
        <v>20</v>
      </c>
      <c r="AY37" s="211">
        <v>2</v>
      </c>
      <c r="AZ37" s="432">
        <v>100</v>
      </c>
      <c r="BA37" s="432">
        <v>10</v>
      </c>
      <c r="BB37" s="432">
        <v>500</v>
      </c>
      <c r="BC37" s="432">
        <v>50</v>
      </c>
      <c r="BD37" s="432">
        <v>20</v>
      </c>
      <c r="BE37" s="432">
        <v>2</v>
      </c>
      <c r="BF37" s="432">
        <f t="shared" ref="BF37:BG37" si="311">BD37*5</f>
        <v>100</v>
      </c>
      <c r="BG37" s="433">
        <f t="shared" si="311"/>
        <v>10</v>
      </c>
      <c r="BH37" s="427">
        <v>34</v>
      </c>
      <c r="BI37" s="211">
        <f t="shared" ref="BI37:BR37" si="312">BI36+T37</f>
        <v>254</v>
      </c>
      <c r="BJ37" s="211">
        <f t="shared" si="312"/>
        <v>9</v>
      </c>
      <c r="BK37" s="211">
        <f t="shared" si="312"/>
        <v>1016</v>
      </c>
      <c r="BL37" s="211">
        <f t="shared" si="312"/>
        <v>36</v>
      </c>
      <c r="BM37" s="211">
        <f t="shared" si="312"/>
        <v>5080</v>
      </c>
      <c r="BN37" s="211">
        <f t="shared" si="312"/>
        <v>180</v>
      </c>
      <c r="BO37" s="211">
        <f t="shared" si="312"/>
        <v>205</v>
      </c>
      <c r="BP37" s="211">
        <f t="shared" si="312"/>
        <v>9</v>
      </c>
      <c r="BQ37" s="211">
        <f t="shared" si="312"/>
        <v>1025</v>
      </c>
      <c r="BR37" s="211">
        <f t="shared" si="312"/>
        <v>45</v>
      </c>
      <c r="BS37" s="427">
        <v>34</v>
      </c>
      <c r="BT37" s="211">
        <f t="shared" ref="BT37:CC37" si="313">BT36+AD37</f>
        <v>330</v>
      </c>
      <c r="BU37" s="211">
        <f t="shared" si="313"/>
        <v>9</v>
      </c>
      <c r="BV37" s="211">
        <f t="shared" si="313"/>
        <v>1369</v>
      </c>
      <c r="BW37" s="211">
        <f t="shared" si="313"/>
        <v>42</v>
      </c>
      <c r="BX37" s="211">
        <f t="shared" si="313"/>
        <v>6845</v>
      </c>
      <c r="BY37" s="211">
        <f t="shared" si="313"/>
        <v>210</v>
      </c>
      <c r="BZ37" s="211">
        <f t="shared" si="313"/>
        <v>303</v>
      </c>
      <c r="CA37" s="211">
        <f t="shared" si="313"/>
        <v>8</v>
      </c>
      <c r="CB37" s="211">
        <f t="shared" si="313"/>
        <v>1515</v>
      </c>
      <c r="CC37" s="211">
        <f t="shared" si="313"/>
        <v>40</v>
      </c>
      <c r="CD37" s="427">
        <v>34</v>
      </c>
      <c r="CE37" s="211">
        <f t="shared" ref="CE37:CN37" si="314">CE36+AN37</f>
        <v>330</v>
      </c>
      <c r="CF37" s="211">
        <f t="shared" si="314"/>
        <v>9</v>
      </c>
      <c r="CG37" s="211">
        <f t="shared" si="314"/>
        <v>1650</v>
      </c>
      <c r="CH37" s="211">
        <f t="shared" si="314"/>
        <v>45</v>
      </c>
      <c r="CI37" s="211">
        <f t="shared" si="314"/>
        <v>8250</v>
      </c>
      <c r="CJ37" s="211">
        <f t="shared" si="314"/>
        <v>225</v>
      </c>
      <c r="CK37" s="211">
        <f t="shared" si="314"/>
        <v>330</v>
      </c>
      <c r="CL37" s="211">
        <f t="shared" si="314"/>
        <v>9</v>
      </c>
      <c r="CM37" s="211">
        <f t="shared" si="314"/>
        <v>1650</v>
      </c>
      <c r="CN37" s="211">
        <f t="shared" si="314"/>
        <v>45</v>
      </c>
      <c r="CO37" s="427">
        <v>34</v>
      </c>
      <c r="CP37" s="211">
        <f t="shared" ref="CP37:CY37" si="315">CP36+AX37</f>
        <v>330</v>
      </c>
      <c r="CQ37" s="211">
        <f t="shared" si="315"/>
        <v>9</v>
      </c>
      <c r="CR37" s="211">
        <f t="shared" si="315"/>
        <v>1650</v>
      </c>
      <c r="CS37" s="211">
        <f t="shared" si="315"/>
        <v>45</v>
      </c>
      <c r="CT37" s="211">
        <f t="shared" si="315"/>
        <v>8250</v>
      </c>
      <c r="CU37" s="211">
        <f t="shared" si="315"/>
        <v>225</v>
      </c>
      <c r="CV37" s="211">
        <f t="shared" si="315"/>
        <v>330</v>
      </c>
      <c r="CW37" s="211">
        <f t="shared" si="315"/>
        <v>9</v>
      </c>
      <c r="CX37" s="211">
        <f t="shared" si="315"/>
        <v>1650</v>
      </c>
      <c r="CY37" s="211">
        <f t="shared" si="315"/>
        <v>45</v>
      </c>
      <c r="CZ37" s="421">
        <v>34</v>
      </c>
      <c r="DA37" s="24">
        <v>85000</v>
      </c>
      <c r="DB37" s="211">
        <f t="shared" si="13"/>
        <v>738600</v>
      </c>
      <c r="DC37" s="211"/>
      <c r="DD37" s="211">
        <f t="shared" si="14"/>
        <v>150</v>
      </c>
      <c r="DE37" s="211"/>
      <c r="DF37" s="211"/>
      <c r="DG37" s="211"/>
      <c r="DH37" s="285">
        <v>34</v>
      </c>
      <c r="DI37" s="286">
        <v>72500</v>
      </c>
      <c r="DJ37" s="287">
        <v>145000</v>
      </c>
      <c r="DK37" s="288">
        <v>290000</v>
      </c>
      <c r="DL37" s="285">
        <v>34</v>
      </c>
      <c r="DM37" s="286">
        <v>145000</v>
      </c>
      <c r="DN37" s="287">
        <v>217500</v>
      </c>
      <c r="DO37" s="288">
        <v>435000</v>
      </c>
      <c r="DP37" s="289">
        <v>34</v>
      </c>
      <c r="DQ37" s="287">
        <v>290000</v>
      </c>
      <c r="DR37" s="288">
        <v>580000</v>
      </c>
      <c r="DS37" s="285">
        <v>34</v>
      </c>
      <c r="DT37" s="211">
        <f t="shared" ref="DT37:DV37" si="316">DI37+DT36</f>
        <v>893500</v>
      </c>
      <c r="DU37" s="211">
        <f t="shared" si="316"/>
        <v>1787000</v>
      </c>
      <c r="DV37" s="211">
        <f t="shared" si="316"/>
        <v>3574000</v>
      </c>
      <c r="DW37" s="211">
        <f t="shared" ref="DW37:DY37" si="317">DM37+DW36</f>
        <v>1787000</v>
      </c>
      <c r="DX37" s="211">
        <f t="shared" si="317"/>
        <v>2680500</v>
      </c>
      <c r="DY37" s="211">
        <f t="shared" si="317"/>
        <v>5361000</v>
      </c>
      <c r="DZ37" s="211">
        <v>0</v>
      </c>
      <c r="EA37" s="211">
        <f t="shared" ref="EA37:EB37" si="318">DQ37+EA36</f>
        <v>3574000</v>
      </c>
      <c r="EB37" s="211">
        <f t="shared" si="318"/>
        <v>7148000</v>
      </c>
      <c r="EC37" s="428">
        <v>34</v>
      </c>
      <c r="ED37" s="211"/>
      <c r="EE37" s="211">
        <f t="shared" si="18"/>
        <v>1</v>
      </c>
      <c r="EF37" s="211"/>
      <c r="EG37" s="211"/>
      <c r="EH37" s="211"/>
      <c r="EI37" s="211"/>
      <c r="EJ37" s="211"/>
      <c r="EK37" s="211"/>
      <c r="EL37" s="211"/>
      <c r="EM37" s="211"/>
      <c r="EN37" s="211"/>
    </row>
    <row r="38" spans="1:144" ht="15.75" customHeight="1" x14ac:dyDescent="0.2">
      <c r="A38" s="421">
        <v>35</v>
      </c>
      <c r="B38" s="211">
        <v>250</v>
      </c>
      <c r="C38" s="211">
        <f t="shared" si="4"/>
        <v>3750</v>
      </c>
      <c r="D38" s="421">
        <v>35</v>
      </c>
      <c r="E38" s="211">
        <v>5332</v>
      </c>
      <c r="F38" s="211">
        <f t="shared" si="5"/>
        <v>63137</v>
      </c>
      <c r="G38" s="211"/>
      <c r="L38" s="448" t="s">
        <v>385</v>
      </c>
      <c r="M38" s="69">
        <v>240000</v>
      </c>
      <c r="N38" s="69">
        <f t="shared" si="20"/>
        <v>3685000</v>
      </c>
      <c r="O38" s="69"/>
      <c r="P38" s="69">
        <f t="shared" si="21"/>
        <v>40800</v>
      </c>
      <c r="Q38" s="8"/>
      <c r="R38" s="439"/>
      <c r="S38" s="426">
        <v>35</v>
      </c>
      <c r="T38" s="230">
        <v>15</v>
      </c>
      <c r="U38" s="211">
        <v>2</v>
      </c>
      <c r="V38" s="211">
        <v>60</v>
      </c>
      <c r="W38" s="211">
        <v>8</v>
      </c>
      <c r="X38" s="432">
        <v>300</v>
      </c>
      <c r="Y38" s="432">
        <v>40</v>
      </c>
      <c r="Z38" s="437">
        <v>12</v>
      </c>
      <c r="AA38" s="437">
        <v>2</v>
      </c>
      <c r="AB38" s="437">
        <v>60</v>
      </c>
      <c r="AC38" s="437">
        <v>10</v>
      </c>
      <c r="AD38" s="230">
        <v>20</v>
      </c>
      <c r="AE38" s="211">
        <v>3</v>
      </c>
      <c r="AF38" s="437">
        <v>80</v>
      </c>
      <c r="AG38" s="437">
        <v>8</v>
      </c>
      <c r="AH38" s="437">
        <v>400</v>
      </c>
      <c r="AI38" s="437">
        <v>40</v>
      </c>
      <c r="AJ38" s="69">
        <v>25</v>
      </c>
      <c r="AK38" s="69">
        <v>3</v>
      </c>
      <c r="AL38" s="435">
        <f t="shared" ref="AL38:AM38" si="319">AJ38*5</f>
        <v>125</v>
      </c>
      <c r="AM38" s="435">
        <f t="shared" si="319"/>
        <v>15</v>
      </c>
      <c r="AN38" s="432">
        <v>20</v>
      </c>
      <c r="AO38" s="432">
        <v>3</v>
      </c>
      <c r="AP38" s="432">
        <v>100</v>
      </c>
      <c r="AQ38" s="432">
        <v>15</v>
      </c>
      <c r="AR38" s="432">
        <v>500</v>
      </c>
      <c r="AS38" s="432">
        <v>75</v>
      </c>
      <c r="AT38" s="432">
        <v>20</v>
      </c>
      <c r="AU38" s="432">
        <v>3</v>
      </c>
      <c r="AV38" s="445">
        <v>100</v>
      </c>
      <c r="AW38" s="446">
        <v>15</v>
      </c>
      <c r="AX38" s="230">
        <v>20</v>
      </c>
      <c r="AY38" s="211">
        <v>3</v>
      </c>
      <c r="AZ38" s="432">
        <v>100</v>
      </c>
      <c r="BA38" s="432">
        <v>15</v>
      </c>
      <c r="BB38" s="432">
        <v>500</v>
      </c>
      <c r="BC38" s="432">
        <v>75</v>
      </c>
      <c r="BD38" s="432">
        <v>20</v>
      </c>
      <c r="BE38" s="432">
        <v>3</v>
      </c>
      <c r="BF38" s="432">
        <f t="shared" ref="BF38:BG38" si="320">BD38*5</f>
        <v>100</v>
      </c>
      <c r="BG38" s="433">
        <f t="shared" si="320"/>
        <v>15</v>
      </c>
      <c r="BH38" s="427">
        <v>35</v>
      </c>
      <c r="BI38" s="211">
        <f t="shared" ref="BI38:BR38" si="321">BI37+T38</f>
        <v>269</v>
      </c>
      <c r="BJ38" s="211">
        <f t="shared" si="321"/>
        <v>11</v>
      </c>
      <c r="BK38" s="211">
        <f t="shared" si="321"/>
        <v>1076</v>
      </c>
      <c r="BL38" s="211">
        <f t="shared" si="321"/>
        <v>44</v>
      </c>
      <c r="BM38" s="211">
        <f t="shared" si="321"/>
        <v>5380</v>
      </c>
      <c r="BN38" s="211">
        <f t="shared" si="321"/>
        <v>220</v>
      </c>
      <c r="BO38" s="211">
        <f t="shared" si="321"/>
        <v>217</v>
      </c>
      <c r="BP38" s="211">
        <f t="shared" si="321"/>
        <v>11</v>
      </c>
      <c r="BQ38" s="211">
        <f t="shared" si="321"/>
        <v>1085</v>
      </c>
      <c r="BR38" s="211">
        <f t="shared" si="321"/>
        <v>55</v>
      </c>
      <c r="BS38" s="427">
        <v>35</v>
      </c>
      <c r="BT38" s="211">
        <f t="shared" ref="BT38:CC38" si="322">BT37+AD38</f>
        <v>350</v>
      </c>
      <c r="BU38" s="211">
        <f t="shared" si="322"/>
        <v>12</v>
      </c>
      <c r="BV38" s="211">
        <f t="shared" si="322"/>
        <v>1449</v>
      </c>
      <c r="BW38" s="211">
        <f t="shared" si="322"/>
        <v>50</v>
      </c>
      <c r="BX38" s="211">
        <f t="shared" si="322"/>
        <v>7245</v>
      </c>
      <c r="BY38" s="211">
        <f t="shared" si="322"/>
        <v>250</v>
      </c>
      <c r="BZ38" s="211">
        <f t="shared" si="322"/>
        <v>328</v>
      </c>
      <c r="CA38" s="211">
        <f t="shared" si="322"/>
        <v>11</v>
      </c>
      <c r="CB38" s="211">
        <f t="shared" si="322"/>
        <v>1640</v>
      </c>
      <c r="CC38" s="211">
        <f t="shared" si="322"/>
        <v>55</v>
      </c>
      <c r="CD38" s="427">
        <v>35</v>
      </c>
      <c r="CE38" s="211">
        <f t="shared" ref="CE38:CN38" si="323">CE37+AN38</f>
        <v>350</v>
      </c>
      <c r="CF38" s="211">
        <f t="shared" si="323"/>
        <v>12</v>
      </c>
      <c r="CG38" s="211">
        <f t="shared" si="323"/>
        <v>1750</v>
      </c>
      <c r="CH38" s="211">
        <f t="shared" si="323"/>
        <v>60</v>
      </c>
      <c r="CI38" s="211">
        <f t="shared" si="323"/>
        <v>8750</v>
      </c>
      <c r="CJ38" s="211">
        <f t="shared" si="323"/>
        <v>300</v>
      </c>
      <c r="CK38" s="211">
        <f t="shared" si="323"/>
        <v>350</v>
      </c>
      <c r="CL38" s="211">
        <f t="shared" si="323"/>
        <v>12</v>
      </c>
      <c r="CM38" s="211">
        <f t="shared" si="323"/>
        <v>1750</v>
      </c>
      <c r="CN38" s="211">
        <f t="shared" si="323"/>
        <v>60</v>
      </c>
      <c r="CO38" s="427">
        <v>35</v>
      </c>
      <c r="CP38" s="211">
        <f t="shared" ref="CP38:CY38" si="324">CP37+AX38</f>
        <v>350</v>
      </c>
      <c r="CQ38" s="211">
        <f t="shared" si="324"/>
        <v>12</v>
      </c>
      <c r="CR38" s="211">
        <f t="shared" si="324"/>
        <v>1750</v>
      </c>
      <c r="CS38" s="211">
        <f t="shared" si="324"/>
        <v>60</v>
      </c>
      <c r="CT38" s="211">
        <f t="shared" si="324"/>
        <v>8750</v>
      </c>
      <c r="CU38" s="211">
        <f t="shared" si="324"/>
        <v>300</v>
      </c>
      <c r="CV38" s="211">
        <f t="shared" si="324"/>
        <v>350</v>
      </c>
      <c r="CW38" s="211">
        <f t="shared" si="324"/>
        <v>12</v>
      </c>
      <c r="CX38" s="211">
        <f t="shared" si="324"/>
        <v>1750</v>
      </c>
      <c r="CY38" s="211">
        <f t="shared" si="324"/>
        <v>60</v>
      </c>
      <c r="CZ38" s="421">
        <v>35</v>
      </c>
      <c r="DA38" s="24">
        <v>90000</v>
      </c>
      <c r="DB38" s="211">
        <f t="shared" si="13"/>
        <v>828600</v>
      </c>
      <c r="DC38" s="211"/>
      <c r="DD38" s="211">
        <f t="shared" si="14"/>
        <v>150</v>
      </c>
      <c r="DE38" s="211"/>
      <c r="DF38" s="211"/>
      <c r="DG38" s="211"/>
      <c r="DH38" s="290">
        <v>35</v>
      </c>
      <c r="DI38" s="291">
        <v>75000</v>
      </c>
      <c r="DJ38" s="292">
        <v>150000</v>
      </c>
      <c r="DK38" s="293">
        <v>300000</v>
      </c>
      <c r="DL38" s="290">
        <v>35</v>
      </c>
      <c r="DM38" s="291">
        <v>150000</v>
      </c>
      <c r="DN38" s="292">
        <v>225000</v>
      </c>
      <c r="DO38" s="293">
        <v>450000</v>
      </c>
      <c r="DP38" s="294">
        <v>35</v>
      </c>
      <c r="DQ38" s="292">
        <v>300000</v>
      </c>
      <c r="DR38" s="293">
        <v>600000</v>
      </c>
      <c r="DS38" s="290">
        <v>35</v>
      </c>
      <c r="DT38" s="211">
        <f t="shared" ref="DT38:DV38" si="325">DI38+DT37</f>
        <v>968500</v>
      </c>
      <c r="DU38" s="211">
        <f t="shared" si="325"/>
        <v>1937000</v>
      </c>
      <c r="DV38" s="211">
        <f t="shared" si="325"/>
        <v>3874000</v>
      </c>
      <c r="DW38" s="211">
        <f t="shared" ref="DW38:DY38" si="326">DM38+DW37</f>
        <v>1937000</v>
      </c>
      <c r="DX38" s="211">
        <f t="shared" si="326"/>
        <v>2905500</v>
      </c>
      <c r="DY38" s="211">
        <f t="shared" si="326"/>
        <v>5811000</v>
      </c>
      <c r="DZ38" s="211">
        <v>0</v>
      </c>
      <c r="EA38" s="211">
        <f t="shared" ref="EA38:EB38" si="327">DQ38+EA37</f>
        <v>3874000</v>
      </c>
      <c r="EB38" s="211">
        <f t="shared" si="327"/>
        <v>7748000</v>
      </c>
      <c r="EC38" s="428">
        <v>35</v>
      </c>
      <c r="ED38" s="211">
        <v>1</v>
      </c>
      <c r="EE38" s="211">
        <f t="shared" si="18"/>
        <v>2</v>
      </c>
      <c r="EF38" s="211"/>
      <c r="EG38" s="211"/>
      <c r="EH38" s="211"/>
      <c r="EI38" s="211"/>
      <c r="EJ38" s="211"/>
      <c r="EK38" s="211"/>
      <c r="EL38" s="211"/>
      <c r="EM38" s="211"/>
      <c r="EN38" s="211"/>
    </row>
    <row r="39" spans="1:144" ht="15.75" customHeight="1" x14ac:dyDescent="0.2">
      <c r="A39" s="421">
        <v>36</v>
      </c>
      <c r="B39" s="211">
        <v>260</v>
      </c>
      <c r="C39" s="211">
        <f t="shared" si="4"/>
        <v>4010</v>
      </c>
      <c r="D39" s="421">
        <v>36</v>
      </c>
      <c r="E39" s="211">
        <v>5661</v>
      </c>
      <c r="F39" s="211">
        <f t="shared" si="5"/>
        <v>68798</v>
      </c>
      <c r="G39" s="211"/>
      <c r="L39" s="448" t="s">
        <v>386</v>
      </c>
      <c r="M39" s="69">
        <v>240000</v>
      </c>
      <c r="N39" s="69">
        <f t="shared" si="20"/>
        <v>3925000</v>
      </c>
      <c r="O39" s="69"/>
      <c r="P39" s="69">
        <f t="shared" si="21"/>
        <v>40800</v>
      </c>
      <c r="Q39" s="8"/>
      <c r="R39" s="439"/>
      <c r="S39" s="426">
        <v>36</v>
      </c>
      <c r="T39" s="230">
        <v>19</v>
      </c>
      <c r="U39" s="211">
        <v>2</v>
      </c>
      <c r="V39" s="211">
        <v>76</v>
      </c>
      <c r="W39" s="211">
        <v>8</v>
      </c>
      <c r="X39" s="432">
        <v>380</v>
      </c>
      <c r="Y39" s="432">
        <v>40</v>
      </c>
      <c r="Z39" s="437">
        <v>15</v>
      </c>
      <c r="AA39" s="437">
        <v>2</v>
      </c>
      <c r="AB39" s="437">
        <v>75</v>
      </c>
      <c r="AC39" s="437">
        <v>10</v>
      </c>
      <c r="AD39" s="230">
        <v>25</v>
      </c>
      <c r="AE39" s="211">
        <v>3</v>
      </c>
      <c r="AF39" s="211">
        <v>100</v>
      </c>
      <c r="AG39" s="211">
        <v>12</v>
      </c>
      <c r="AH39" s="211">
        <v>500</v>
      </c>
      <c r="AI39" s="211">
        <v>60</v>
      </c>
      <c r="AJ39" s="69">
        <v>25</v>
      </c>
      <c r="AK39" s="69">
        <v>3</v>
      </c>
      <c r="AL39" s="435">
        <f t="shared" ref="AL39:AM39" si="328">AJ39*5</f>
        <v>125</v>
      </c>
      <c r="AM39" s="435">
        <f t="shared" si="328"/>
        <v>15</v>
      </c>
      <c r="AN39" s="432">
        <v>25</v>
      </c>
      <c r="AO39" s="432">
        <v>3</v>
      </c>
      <c r="AP39" s="432">
        <v>125</v>
      </c>
      <c r="AQ39" s="432">
        <v>15</v>
      </c>
      <c r="AR39" s="437">
        <v>625</v>
      </c>
      <c r="AS39" s="432">
        <v>75</v>
      </c>
      <c r="AT39" s="211">
        <v>25</v>
      </c>
      <c r="AU39" s="211">
        <v>3</v>
      </c>
      <c r="AV39" s="445">
        <v>125</v>
      </c>
      <c r="AW39" s="446">
        <v>15</v>
      </c>
      <c r="AX39" s="230">
        <v>25</v>
      </c>
      <c r="AY39" s="211">
        <v>3</v>
      </c>
      <c r="AZ39" s="432">
        <v>125</v>
      </c>
      <c r="BA39" s="432">
        <v>15</v>
      </c>
      <c r="BB39" s="432">
        <v>625</v>
      </c>
      <c r="BC39" s="432">
        <v>75</v>
      </c>
      <c r="BD39" s="432">
        <v>25</v>
      </c>
      <c r="BE39" s="432">
        <v>3</v>
      </c>
      <c r="BF39" s="211">
        <v>125</v>
      </c>
      <c r="BG39" s="232">
        <v>15</v>
      </c>
      <c r="BH39" s="427">
        <v>36</v>
      </c>
      <c r="BI39" s="211">
        <f t="shared" ref="BI39:BR39" si="329">BI38+T39</f>
        <v>288</v>
      </c>
      <c r="BJ39" s="211">
        <f t="shared" si="329"/>
        <v>13</v>
      </c>
      <c r="BK39" s="211">
        <f t="shared" si="329"/>
        <v>1152</v>
      </c>
      <c r="BL39" s="211">
        <f t="shared" si="329"/>
        <v>52</v>
      </c>
      <c r="BM39" s="211">
        <f t="shared" si="329"/>
        <v>5760</v>
      </c>
      <c r="BN39" s="211">
        <f t="shared" si="329"/>
        <v>260</v>
      </c>
      <c r="BO39" s="211">
        <f t="shared" si="329"/>
        <v>232</v>
      </c>
      <c r="BP39" s="211">
        <f t="shared" si="329"/>
        <v>13</v>
      </c>
      <c r="BQ39" s="211">
        <f t="shared" si="329"/>
        <v>1160</v>
      </c>
      <c r="BR39" s="211">
        <f t="shared" si="329"/>
        <v>65</v>
      </c>
      <c r="BS39" s="427">
        <v>36</v>
      </c>
      <c r="BT39" s="211">
        <f t="shared" ref="BT39:CC39" si="330">BT38+AD39</f>
        <v>375</v>
      </c>
      <c r="BU39" s="211">
        <f t="shared" si="330"/>
        <v>15</v>
      </c>
      <c r="BV39" s="211">
        <f t="shared" si="330"/>
        <v>1549</v>
      </c>
      <c r="BW39" s="211">
        <f t="shared" si="330"/>
        <v>62</v>
      </c>
      <c r="BX39" s="211">
        <f t="shared" si="330"/>
        <v>7745</v>
      </c>
      <c r="BY39" s="211">
        <f t="shared" si="330"/>
        <v>310</v>
      </c>
      <c r="BZ39" s="211">
        <f t="shared" si="330"/>
        <v>353</v>
      </c>
      <c r="CA39" s="211">
        <f t="shared" si="330"/>
        <v>14</v>
      </c>
      <c r="CB39" s="211">
        <f t="shared" si="330"/>
        <v>1765</v>
      </c>
      <c r="CC39" s="211">
        <f t="shared" si="330"/>
        <v>70</v>
      </c>
      <c r="CD39" s="427">
        <v>36</v>
      </c>
      <c r="CE39" s="211">
        <f t="shared" ref="CE39:CN39" si="331">CE38+AN39</f>
        <v>375</v>
      </c>
      <c r="CF39" s="211">
        <f t="shared" si="331"/>
        <v>15</v>
      </c>
      <c r="CG39" s="211">
        <f t="shared" si="331"/>
        <v>1875</v>
      </c>
      <c r="CH39" s="211">
        <f t="shared" si="331"/>
        <v>75</v>
      </c>
      <c r="CI39" s="211">
        <f t="shared" si="331"/>
        <v>9375</v>
      </c>
      <c r="CJ39" s="211">
        <f t="shared" si="331"/>
        <v>375</v>
      </c>
      <c r="CK39" s="211">
        <f t="shared" si="331"/>
        <v>375</v>
      </c>
      <c r="CL39" s="211">
        <f t="shared" si="331"/>
        <v>15</v>
      </c>
      <c r="CM39" s="211">
        <f t="shared" si="331"/>
        <v>1875</v>
      </c>
      <c r="CN39" s="211">
        <f t="shared" si="331"/>
        <v>75</v>
      </c>
      <c r="CO39" s="427">
        <v>36</v>
      </c>
      <c r="CP39" s="211">
        <f t="shared" ref="CP39:CY39" si="332">CP38+AX39</f>
        <v>375</v>
      </c>
      <c r="CQ39" s="211">
        <f t="shared" si="332"/>
        <v>15</v>
      </c>
      <c r="CR39" s="211">
        <f t="shared" si="332"/>
        <v>1875</v>
      </c>
      <c r="CS39" s="211">
        <f t="shared" si="332"/>
        <v>75</v>
      </c>
      <c r="CT39" s="211">
        <f t="shared" si="332"/>
        <v>9375</v>
      </c>
      <c r="CU39" s="211">
        <f t="shared" si="332"/>
        <v>375</v>
      </c>
      <c r="CV39" s="211">
        <f t="shared" si="332"/>
        <v>375</v>
      </c>
      <c r="CW39" s="211">
        <f t="shared" si="332"/>
        <v>15</v>
      </c>
      <c r="CX39" s="211">
        <f t="shared" si="332"/>
        <v>1875</v>
      </c>
      <c r="CY39" s="211">
        <f t="shared" si="332"/>
        <v>75</v>
      </c>
      <c r="CZ39" s="421">
        <v>36</v>
      </c>
      <c r="DA39" s="24">
        <v>95000</v>
      </c>
      <c r="DB39" s="211">
        <f t="shared" si="13"/>
        <v>923600</v>
      </c>
      <c r="DC39" s="211"/>
      <c r="DD39" s="211">
        <f t="shared" si="14"/>
        <v>150</v>
      </c>
      <c r="DE39" s="211"/>
      <c r="DF39" s="211"/>
      <c r="DG39" s="211"/>
      <c r="DH39" s="290">
        <v>36</v>
      </c>
      <c r="DI39" s="291">
        <v>77500</v>
      </c>
      <c r="DJ39" s="292">
        <v>155000</v>
      </c>
      <c r="DK39" s="293">
        <v>310000</v>
      </c>
      <c r="DL39" s="290">
        <v>36</v>
      </c>
      <c r="DM39" s="291">
        <v>155000</v>
      </c>
      <c r="DN39" s="292">
        <v>232500</v>
      </c>
      <c r="DO39" s="293">
        <v>465000</v>
      </c>
      <c r="DP39" s="294">
        <v>36</v>
      </c>
      <c r="DQ39" s="292">
        <v>310000</v>
      </c>
      <c r="DR39" s="293">
        <v>620000</v>
      </c>
      <c r="DS39" s="290">
        <v>36</v>
      </c>
      <c r="DT39" s="211">
        <f t="shared" ref="DT39:DV39" si="333">DI39+DT38</f>
        <v>1046000</v>
      </c>
      <c r="DU39" s="211">
        <f t="shared" si="333"/>
        <v>2092000</v>
      </c>
      <c r="DV39" s="211">
        <f t="shared" si="333"/>
        <v>4184000</v>
      </c>
      <c r="DW39" s="211">
        <f t="shared" ref="DW39:DY39" si="334">DM39+DW38</f>
        <v>2092000</v>
      </c>
      <c r="DX39" s="211">
        <f t="shared" si="334"/>
        <v>3138000</v>
      </c>
      <c r="DY39" s="211">
        <f t="shared" si="334"/>
        <v>6276000</v>
      </c>
      <c r="DZ39" s="211">
        <v>0</v>
      </c>
      <c r="EA39" s="211">
        <f t="shared" ref="EA39:EB39" si="335">DQ39+EA38</f>
        <v>4184000</v>
      </c>
      <c r="EB39" s="211">
        <f t="shared" si="335"/>
        <v>8368000</v>
      </c>
      <c r="EC39" s="428">
        <v>36</v>
      </c>
      <c r="ED39" s="211"/>
      <c r="EE39" s="211">
        <f t="shared" si="18"/>
        <v>2</v>
      </c>
      <c r="EF39" s="211"/>
      <c r="EG39" s="211"/>
      <c r="EH39" s="211"/>
      <c r="EI39" s="211"/>
      <c r="EJ39" s="211"/>
      <c r="EK39" s="211"/>
      <c r="EL39" s="211"/>
      <c r="EM39" s="211"/>
      <c r="EN39" s="211"/>
    </row>
    <row r="40" spans="1:144" ht="15.75" customHeight="1" x14ac:dyDescent="0.2">
      <c r="A40" s="421">
        <v>37</v>
      </c>
      <c r="B40" s="211">
        <v>270</v>
      </c>
      <c r="C40" s="211">
        <f t="shared" si="4"/>
        <v>4280</v>
      </c>
      <c r="D40" s="421">
        <v>37</v>
      </c>
      <c r="E40" s="211">
        <v>6000</v>
      </c>
      <c r="F40" s="211">
        <f t="shared" si="5"/>
        <v>74798</v>
      </c>
      <c r="G40" s="211"/>
      <c r="L40" s="448" t="s">
        <v>387</v>
      </c>
      <c r="M40" s="69">
        <v>240000</v>
      </c>
      <c r="N40" s="69">
        <f t="shared" si="20"/>
        <v>4165000</v>
      </c>
      <c r="O40" s="69"/>
      <c r="P40" s="69">
        <f t="shared" si="21"/>
        <v>40800</v>
      </c>
      <c r="Q40" s="8"/>
      <c r="R40" s="439"/>
      <c r="S40" s="426">
        <v>37</v>
      </c>
      <c r="T40" s="431">
        <v>19</v>
      </c>
      <c r="U40" s="432">
        <v>3</v>
      </c>
      <c r="V40" s="211">
        <v>76</v>
      </c>
      <c r="W40" s="211">
        <v>12</v>
      </c>
      <c r="X40" s="432">
        <v>380</v>
      </c>
      <c r="Y40" s="432">
        <v>60</v>
      </c>
      <c r="Z40" s="437">
        <v>15</v>
      </c>
      <c r="AA40" s="437">
        <v>2</v>
      </c>
      <c r="AB40" s="437">
        <v>75</v>
      </c>
      <c r="AC40" s="437">
        <v>10</v>
      </c>
      <c r="AD40" s="230">
        <v>25</v>
      </c>
      <c r="AE40" s="211">
        <v>4</v>
      </c>
      <c r="AF40" s="432">
        <v>120</v>
      </c>
      <c r="AG40" s="432">
        <v>16</v>
      </c>
      <c r="AH40" s="211">
        <v>600</v>
      </c>
      <c r="AI40" s="211">
        <v>80</v>
      </c>
      <c r="AJ40" s="69">
        <v>30</v>
      </c>
      <c r="AK40" s="69">
        <v>3</v>
      </c>
      <c r="AL40" s="435">
        <f t="shared" ref="AL40:AM40" si="336">AJ40*5</f>
        <v>150</v>
      </c>
      <c r="AM40" s="435">
        <f t="shared" si="336"/>
        <v>15</v>
      </c>
      <c r="AN40" s="432">
        <v>25</v>
      </c>
      <c r="AO40" s="432">
        <v>4</v>
      </c>
      <c r="AP40" s="211">
        <v>125</v>
      </c>
      <c r="AQ40" s="211">
        <v>20</v>
      </c>
      <c r="AR40" s="69">
        <v>625</v>
      </c>
      <c r="AS40" s="69">
        <v>100</v>
      </c>
      <c r="AT40" s="432">
        <v>25</v>
      </c>
      <c r="AU40" s="432">
        <v>4</v>
      </c>
      <c r="AV40" s="445">
        <v>125</v>
      </c>
      <c r="AW40" s="446">
        <v>20</v>
      </c>
      <c r="AX40" s="230">
        <v>25</v>
      </c>
      <c r="AY40" s="211">
        <v>4</v>
      </c>
      <c r="AZ40" s="432">
        <v>125</v>
      </c>
      <c r="BA40" s="432">
        <v>20</v>
      </c>
      <c r="BB40" s="432">
        <v>625</v>
      </c>
      <c r="BC40" s="432">
        <v>100</v>
      </c>
      <c r="BD40" s="211">
        <v>25</v>
      </c>
      <c r="BE40" s="211">
        <v>4</v>
      </c>
      <c r="BF40" s="432">
        <f t="shared" ref="BF40:BG40" si="337">BD40*5</f>
        <v>125</v>
      </c>
      <c r="BG40" s="433">
        <f t="shared" si="337"/>
        <v>20</v>
      </c>
      <c r="BH40" s="427">
        <v>37</v>
      </c>
      <c r="BI40" s="211">
        <f t="shared" ref="BI40:BR40" si="338">BI39+T40</f>
        <v>307</v>
      </c>
      <c r="BJ40" s="211">
        <f t="shared" si="338"/>
        <v>16</v>
      </c>
      <c r="BK40" s="211">
        <f t="shared" si="338"/>
        <v>1228</v>
      </c>
      <c r="BL40" s="211">
        <f t="shared" si="338"/>
        <v>64</v>
      </c>
      <c r="BM40" s="211">
        <f t="shared" si="338"/>
        <v>6140</v>
      </c>
      <c r="BN40" s="211">
        <f t="shared" si="338"/>
        <v>320</v>
      </c>
      <c r="BO40" s="211">
        <f t="shared" si="338"/>
        <v>247</v>
      </c>
      <c r="BP40" s="211">
        <f t="shared" si="338"/>
        <v>15</v>
      </c>
      <c r="BQ40" s="211">
        <f t="shared" si="338"/>
        <v>1235</v>
      </c>
      <c r="BR40" s="211">
        <f t="shared" si="338"/>
        <v>75</v>
      </c>
      <c r="BS40" s="427">
        <v>37</v>
      </c>
      <c r="BT40" s="211">
        <f t="shared" ref="BT40:CC40" si="339">BT39+AD40</f>
        <v>400</v>
      </c>
      <c r="BU40" s="211">
        <f t="shared" si="339"/>
        <v>19</v>
      </c>
      <c r="BV40" s="211">
        <f t="shared" si="339"/>
        <v>1669</v>
      </c>
      <c r="BW40" s="211">
        <f t="shared" si="339"/>
        <v>78</v>
      </c>
      <c r="BX40" s="211">
        <f t="shared" si="339"/>
        <v>8345</v>
      </c>
      <c r="BY40" s="211">
        <f t="shared" si="339"/>
        <v>390</v>
      </c>
      <c r="BZ40" s="211">
        <f t="shared" si="339"/>
        <v>383</v>
      </c>
      <c r="CA40" s="211">
        <f t="shared" si="339"/>
        <v>17</v>
      </c>
      <c r="CB40" s="211">
        <f t="shared" si="339"/>
        <v>1915</v>
      </c>
      <c r="CC40" s="211">
        <f t="shared" si="339"/>
        <v>85</v>
      </c>
      <c r="CD40" s="427">
        <v>37</v>
      </c>
      <c r="CE40" s="211">
        <f t="shared" ref="CE40:CN40" si="340">CE39+AN40</f>
        <v>400</v>
      </c>
      <c r="CF40" s="211">
        <f t="shared" si="340"/>
        <v>19</v>
      </c>
      <c r="CG40" s="211">
        <f t="shared" si="340"/>
        <v>2000</v>
      </c>
      <c r="CH40" s="211">
        <f t="shared" si="340"/>
        <v>95</v>
      </c>
      <c r="CI40" s="211">
        <f t="shared" si="340"/>
        <v>10000</v>
      </c>
      <c r="CJ40" s="211">
        <f t="shared" si="340"/>
        <v>475</v>
      </c>
      <c r="CK40" s="211">
        <f t="shared" si="340"/>
        <v>400</v>
      </c>
      <c r="CL40" s="211">
        <f t="shared" si="340"/>
        <v>19</v>
      </c>
      <c r="CM40" s="211">
        <f t="shared" si="340"/>
        <v>2000</v>
      </c>
      <c r="CN40" s="211">
        <f t="shared" si="340"/>
        <v>95</v>
      </c>
      <c r="CO40" s="427">
        <v>37</v>
      </c>
      <c r="CP40" s="211">
        <f t="shared" ref="CP40:CY40" si="341">CP39+AX40</f>
        <v>400</v>
      </c>
      <c r="CQ40" s="211">
        <f t="shared" si="341"/>
        <v>19</v>
      </c>
      <c r="CR40" s="211">
        <f t="shared" si="341"/>
        <v>2000</v>
      </c>
      <c r="CS40" s="211">
        <f t="shared" si="341"/>
        <v>95</v>
      </c>
      <c r="CT40" s="211">
        <f t="shared" si="341"/>
        <v>10000</v>
      </c>
      <c r="CU40" s="211">
        <f t="shared" si="341"/>
        <v>475</v>
      </c>
      <c r="CV40" s="211">
        <f t="shared" si="341"/>
        <v>400</v>
      </c>
      <c r="CW40" s="211">
        <f t="shared" si="341"/>
        <v>19</v>
      </c>
      <c r="CX40" s="211">
        <f t="shared" si="341"/>
        <v>2000</v>
      </c>
      <c r="CY40" s="211">
        <f t="shared" si="341"/>
        <v>95</v>
      </c>
      <c r="CZ40" s="421">
        <v>37</v>
      </c>
      <c r="DA40" s="24">
        <v>110000</v>
      </c>
      <c r="DB40" s="211">
        <f t="shared" si="13"/>
        <v>1033600</v>
      </c>
      <c r="DC40" s="211"/>
      <c r="DD40" s="211">
        <f t="shared" si="14"/>
        <v>150</v>
      </c>
      <c r="DE40" s="211"/>
      <c r="DF40" s="211"/>
      <c r="DG40" s="211"/>
      <c r="DH40" s="290">
        <v>37</v>
      </c>
      <c r="DI40" s="291">
        <v>80000</v>
      </c>
      <c r="DJ40" s="292">
        <v>160000</v>
      </c>
      <c r="DK40" s="293">
        <v>320000</v>
      </c>
      <c r="DL40" s="290">
        <v>37</v>
      </c>
      <c r="DM40" s="291">
        <v>160000</v>
      </c>
      <c r="DN40" s="292">
        <v>240000</v>
      </c>
      <c r="DO40" s="293">
        <v>480000</v>
      </c>
      <c r="DP40" s="294">
        <v>37</v>
      </c>
      <c r="DQ40" s="292">
        <v>320000</v>
      </c>
      <c r="DR40" s="293">
        <v>640000</v>
      </c>
      <c r="DS40" s="290">
        <v>37</v>
      </c>
      <c r="DT40" s="211">
        <f t="shared" ref="DT40:DV40" si="342">DI40+DT39</f>
        <v>1126000</v>
      </c>
      <c r="DU40" s="211">
        <f t="shared" si="342"/>
        <v>2252000</v>
      </c>
      <c r="DV40" s="211">
        <f t="shared" si="342"/>
        <v>4504000</v>
      </c>
      <c r="DW40" s="211">
        <f t="shared" ref="DW40:DY40" si="343">DM40+DW39</f>
        <v>2252000</v>
      </c>
      <c r="DX40" s="211">
        <f t="shared" si="343"/>
        <v>3378000</v>
      </c>
      <c r="DY40" s="211">
        <f t="shared" si="343"/>
        <v>6756000</v>
      </c>
      <c r="DZ40" s="211">
        <v>0</v>
      </c>
      <c r="EA40" s="211">
        <f t="shared" ref="EA40:EB40" si="344">DQ40+EA39</f>
        <v>4504000</v>
      </c>
      <c r="EB40" s="211">
        <f t="shared" si="344"/>
        <v>9008000</v>
      </c>
      <c r="EC40" s="428">
        <v>37</v>
      </c>
      <c r="ED40" s="211"/>
      <c r="EE40" s="211">
        <f t="shared" si="18"/>
        <v>2</v>
      </c>
      <c r="EF40" s="211"/>
      <c r="EG40" s="211"/>
      <c r="EH40" s="211"/>
      <c r="EI40" s="211"/>
      <c r="EJ40" s="211"/>
      <c r="EK40" s="211"/>
      <c r="EL40" s="211"/>
      <c r="EM40" s="211"/>
      <c r="EN40" s="211"/>
    </row>
    <row r="41" spans="1:144" ht="15.75" customHeight="1" x14ac:dyDescent="0.2">
      <c r="A41" s="421">
        <v>38</v>
      </c>
      <c r="B41" s="211">
        <v>280</v>
      </c>
      <c r="C41" s="211">
        <f t="shared" si="4"/>
        <v>4560</v>
      </c>
      <c r="D41" s="421">
        <v>38</v>
      </c>
      <c r="E41" s="211">
        <v>6351</v>
      </c>
      <c r="F41" s="211">
        <f t="shared" si="5"/>
        <v>81149</v>
      </c>
      <c r="G41" s="211"/>
      <c r="L41" s="448" t="s">
        <v>388</v>
      </c>
      <c r="M41" s="69">
        <v>240000</v>
      </c>
      <c r="N41" s="69">
        <f t="shared" si="20"/>
        <v>4405000</v>
      </c>
      <c r="O41" s="69"/>
      <c r="P41" s="69">
        <f t="shared" si="21"/>
        <v>40800</v>
      </c>
      <c r="Q41" s="8"/>
      <c r="R41" s="439"/>
      <c r="S41" s="426">
        <v>38</v>
      </c>
      <c r="T41" s="431">
        <v>23</v>
      </c>
      <c r="U41" s="432">
        <v>3</v>
      </c>
      <c r="V41" s="211">
        <v>92</v>
      </c>
      <c r="W41" s="211">
        <v>12</v>
      </c>
      <c r="X41" s="432">
        <v>460</v>
      </c>
      <c r="Y41" s="432">
        <v>60</v>
      </c>
      <c r="Z41" s="437">
        <v>18</v>
      </c>
      <c r="AA41" s="437">
        <v>2</v>
      </c>
      <c r="AB41" s="437">
        <v>90</v>
      </c>
      <c r="AC41" s="437">
        <v>10</v>
      </c>
      <c r="AD41" s="230">
        <v>30</v>
      </c>
      <c r="AE41" s="211">
        <v>4</v>
      </c>
      <c r="AF41" s="211">
        <v>120</v>
      </c>
      <c r="AG41" s="211">
        <v>16</v>
      </c>
      <c r="AH41" s="432">
        <v>600</v>
      </c>
      <c r="AI41" s="432">
        <v>80</v>
      </c>
      <c r="AJ41" s="69">
        <v>30</v>
      </c>
      <c r="AK41" s="69">
        <v>3</v>
      </c>
      <c r="AL41" s="435">
        <f t="shared" ref="AL41:AM41" si="345">AJ41*5</f>
        <v>150</v>
      </c>
      <c r="AM41" s="435">
        <f t="shared" si="345"/>
        <v>15</v>
      </c>
      <c r="AN41" s="432">
        <v>30</v>
      </c>
      <c r="AO41" s="432">
        <v>4</v>
      </c>
      <c r="AP41" s="432">
        <v>150</v>
      </c>
      <c r="AQ41" s="432">
        <v>20</v>
      </c>
      <c r="AR41" s="432">
        <v>750</v>
      </c>
      <c r="AS41" s="432">
        <v>100</v>
      </c>
      <c r="AT41" s="211">
        <v>30</v>
      </c>
      <c r="AU41" s="211">
        <v>4</v>
      </c>
      <c r="AV41" s="445">
        <v>150</v>
      </c>
      <c r="AW41" s="446">
        <v>20</v>
      </c>
      <c r="AX41" s="230">
        <v>30</v>
      </c>
      <c r="AY41" s="211">
        <v>4</v>
      </c>
      <c r="AZ41" s="432">
        <v>150</v>
      </c>
      <c r="BA41" s="432">
        <v>20</v>
      </c>
      <c r="BB41" s="211">
        <v>750</v>
      </c>
      <c r="BC41" s="211">
        <v>100</v>
      </c>
      <c r="BD41" s="432">
        <v>30</v>
      </c>
      <c r="BE41" s="432">
        <v>4</v>
      </c>
      <c r="BF41" s="432">
        <f t="shared" ref="BF41:BG41" si="346">BD41*5</f>
        <v>150</v>
      </c>
      <c r="BG41" s="433">
        <f t="shared" si="346"/>
        <v>20</v>
      </c>
      <c r="BH41" s="427">
        <v>38</v>
      </c>
      <c r="BI41" s="211">
        <f t="shared" ref="BI41:BR41" si="347">BI40+T41</f>
        <v>330</v>
      </c>
      <c r="BJ41" s="211">
        <f t="shared" si="347"/>
        <v>19</v>
      </c>
      <c r="BK41" s="211">
        <f t="shared" si="347"/>
        <v>1320</v>
      </c>
      <c r="BL41" s="211">
        <f t="shared" si="347"/>
        <v>76</v>
      </c>
      <c r="BM41" s="211">
        <f t="shared" si="347"/>
        <v>6600</v>
      </c>
      <c r="BN41" s="211">
        <f t="shared" si="347"/>
        <v>380</v>
      </c>
      <c r="BO41" s="211">
        <f t="shared" si="347"/>
        <v>265</v>
      </c>
      <c r="BP41" s="211">
        <f t="shared" si="347"/>
        <v>17</v>
      </c>
      <c r="BQ41" s="211">
        <f t="shared" si="347"/>
        <v>1325</v>
      </c>
      <c r="BR41" s="211">
        <f t="shared" si="347"/>
        <v>85</v>
      </c>
      <c r="BS41" s="427">
        <v>38</v>
      </c>
      <c r="BT41" s="211">
        <f t="shared" ref="BT41:CC41" si="348">BT40+AD41</f>
        <v>430</v>
      </c>
      <c r="BU41" s="211">
        <f t="shared" si="348"/>
        <v>23</v>
      </c>
      <c r="BV41" s="211">
        <f t="shared" si="348"/>
        <v>1789</v>
      </c>
      <c r="BW41" s="211">
        <f t="shared" si="348"/>
        <v>94</v>
      </c>
      <c r="BX41" s="211">
        <f t="shared" si="348"/>
        <v>8945</v>
      </c>
      <c r="BY41" s="211">
        <f t="shared" si="348"/>
        <v>470</v>
      </c>
      <c r="BZ41" s="211">
        <f t="shared" si="348"/>
        <v>413</v>
      </c>
      <c r="CA41" s="211">
        <f t="shared" si="348"/>
        <v>20</v>
      </c>
      <c r="CB41" s="211">
        <f t="shared" si="348"/>
        <v>2065</v>
      </c>
      <c r="CC41" s="211">
        <f t="shared" si="348"/>
        <v>100</v>
      </c>
      <c r="CD41" s="427">
        <v>38</v>
      </c>
      <c r="CE41" s="211">
        <f t="shared" ref="CE41:CN41" si="349">CE40+AN41</f>
        <v>430</v>
      </c>
      <c r="CF41" s="211">
        <f t="shared" si="349"/>
        <v>23</v>
      </c>
      <c r="CG41" s="211">
        <f t="shared" si="349"/>
        <v>2150</v>
      </c>
      <c r="CH41" s="211">
        <f t="shared" si="349"/>
        <v>115</v>
      </c>
      <c r="CI41" s="211">
        <f t="shared" si="349"/>
        <v>10750</v>
      </c>
      <c r="CJ41" s="211">
        <f t="shared" si="349"/>
        <v>575</v>
      </c>
      <c r="CK41" s="211">
        <f t="shared" si="349"/>
        <v>430</v>
      </c>
      <c r="CL41" s="211">
        <f t="shared" si="349"/>
        <v>23</v>
      </c>
      <c r="CM41" s="211">
        <f t="shared" si="349"/>
        <v>2150</v>
      </c>
      <c r="CN41" s="211">
        <f t="shared" si="349"/>
        <v>115</v>
      </c>
      <c r="CO41" s="427">
        <v>38</v>
      </c>
      <c r="CP41" s="211">
        <f t="shared" ref="CP41:CY41" si="350">CP40+AX41</f>
        <v>430</v>
      </c>
      <c r="CQ41" s="211">
        <f t="shared" si="350"/>
        <v>23</v>
      </c>
      <c r="CR41" s="211">
        <f t="shared" si="350"/>
        <v>2150</v>
      </c>
      <c r="CS41" s="211">
        <f t="shared" si="350"/>
        <v>115</v>
      </c>
      <c r="CT41" s="211">
        <f t="shared" si="350"/>
        <v>10750</v>
      </c>
      <c r="CU41" s="211">
        <f t="shared" si="350"/>
        <v>575</v>
      </c>
      <c r="CV41" s="211">
        <f t="shared" si="350"/>
        <v>430</v>
      </c>
      <c r="CW41" s="211">
        <f t="shared" si="350"/>
        <v>23</v>
      </c>
      <c r="CX41" s="211">
        <f t="shared" si="350"/>
        <v>2150</v>
      </c>
      <c r="CY41" s="211">
        <f t="shared" si="350"/>
        <v>115</v>
      </c>
      <c r="CZ41" s="421">
        <v>38</v>
      </c>
      <c r="DA41" s="24">
        <v>120000</v>
      </c>
      <c r="DB41" s="211">
        <f t="shared" si="13"/>
        <v>1153600</v>
      </c>
      <c r="DC41" s="211"/>
      <c r="DD41" s="211">
        <f t="shared" si="14"/>
        <v>150</v>
      </c>
      <c r="DE41" s="211"/>
      <c r="DF41" s="211"/>
      <c r="DG41" s="211"/>
      <c r="DH41" s="290">
        <v>38</v>
      </c>
      <c r="DI41" s="291">
        <v>82500</v>
      </c>
      <c r="DJ41" s="292">
        <v>165000</v>
      </c>
      <c r="DK41" s="293">
        <v>330000</v>
      </c>
      <c r="DL41" s="290">
        <v>38</v>
      </c>
      <c r="DM41" s="291">
        <v>165000</v>
      </c>
      <c r="DN41" s="292">
        <v>247500</v>
      </c>
      <c r="DO41" s="293">
        <v>495000</v>
      </c>
      <c r="DP41" s="294">
        <v>38</v>
      </c>
      <c r="DQ41" s="292">
        <v>330000</v>
      </c>
      <c r="DR41" s="293">
        <v>660000</v>
      </c>
      <c r="DS41" s="290">
        <v>38</v>
      </c>
      <c r="DT41" s="211">
        <f t="shared" ref="DT41:DV41" si="351">DI41+DT40</f>
        <v>1208500</v>
      </c>
      <c r="DU41" s="211">
        <f t="shared" si="351"/>
        <v>2417000</v>
      </c>
      <c r="DV41" s="211">
        <f t="shared" si="351"/>
        <v>4834000</v>
      </c>
      <c r="DW41" s="211">
        <f t="shared" ref="DW41:DY41" si="352">DM41+DW40</f>
        <v>2417000</v>
      </c>
      <c r="DX41" s="211">
        <f t="shared" si="352"/>
        <v>3625500</v>
      </c>
      <c r="DY41" s="211">
        <f t="shared" si="352"/>
        <v>7251000</v>
      </c>
      <c r="DZ41" s="211">
        <v>0</v>
      </c>
      <c r="EA41" s="211">
        <f t="shared" ref="EA41:EB41" si="353">DQ41+EA40</f>
        <v>4834000</v>
      </c>
      <c r="EB41" s="211">
        <f t="shared" si="353"/>
        <v>9668000</v>
      </c>
      <c r="EC41" s="428">
        <v>38</v>
      </c>
      <c r="ED41" s="211"/>
      <c r="EE41" s="211">
        <f t="shared" si="18"/>
        <v>2</v>
      </c>
      <c r="EF41" s="211"/>
      <c r="EG41" s="211"/>
      <c r="EH41" s="211"/>
      <c r="EI41" s="211"/>
      <c r="EJ41" s="211"/>
      <c r="EK41" s="211"/>
      <c r="EL41" s="211"/>
      <c r="EM41" s="211"/>
      <c r="EN41" s="211"/>
    </row>
    <row r="42" spans="1:144" ht="15.75" customHeight="1" x14ac:dyDescent="0.2">
      <c r="A42" s="421">
        <v>39</v>
      </c>
      <c r="B42" s="211">
        <v>290</v>
      </c>
      <c r="C42" s="211">
        <f t="shared" si="4"/>
        <v>4850</v>
      </c>
      <c r="D42" s="421">
        <v>39</v>
      </c>
      <c r="E42" s="211">
        <v>6713</v>
      </c>
      <c r="F42" s="211">
        <f t="shared" si="5"/>
        <v>87862</v>
      </c>
      <c r="G42" s="211"/>
      <c r="M42" s="8"/>
      <c r="N42" s="8"/>
      <c r="O42" s="8"/>
      <c r="P42" s="8"/>
      <c r="Q42" s="8"/>
      <c r="R42" s="439"/>
      <c r="S42" s="426">
        <v>39</v>
      </c>
      <c r="T42" s="431">
        <v>26</v>
      </c>
      <c r="U42" s="432">
        <v>4</v>
      </c>
      <c r="V42" s="211">
        <v>104</v>
      </c>
      <c r="W42" s="211">
        <v>16</v>
      </c>
      <c r="X42" s="432">
        <v>520</v>
      </c>
      <c r="Y42" s="432">
        <v>80</v>
      </c>
      <c r="Z42" s="211">
        <v>21</v>
      </c>
      <c r="AA42" s="211">
        <v>3</v>
      </c>
      <c r="AB42" s="432">
        <v>105</v>
      </c>
      <c r="AC42" s="432">
        <v>15</v>
      </c>
      <c r="AD42" s="230">
        <v>35</v>
      </c>
      <c r="AE42" s="211">
        <v>5</v>
      </c>
      <c r="AF42" s="211">
        <v>140</v>
      </c>
      <c r="AG42" s="211">
        <v>20</v>
      </c>
      <c r="AH42" s="432">
        <v>700</v>
      </c>
      <c r="AI42" s="432">
        <v>100</v>
      </c>
      <c r="AJ42" s="69">
        <v>30</v>
      </c>
      <c r="AK42" s="69">
        <v>3</v>
      </c>
      <c r="AL42" s="435">
        <f t="shared" ref="AL42:AM42" si="354">AJ42*5</f>
        <v>150</v>
      </c>
      <c r="AM42" s="435">
        <f t="shared" si="354"/>
        <v>15</v>
      </c>
      <c r="AN42" s="432">
        <v>35</v>
      </c>
      <c r="AO42" s="432">
        <v>5</v>
      </c>
      <c r="AP42" s="432">
        <v>175</v>
      </c>
      <c r="AQ42" s="432">
        <v>25</v>
      </c>
      <c r="AR42" s="432">
        <v>875</v>
      </c>
      <c r="AS42" s="432">
        <v>125</v>
      </c>
      <c r="AT42" s="432">
        <v>35</v>
      </c>
      <c r="AU42" s="432">
        <v>5</v>
      </c>
      <c r="AV42" s="445">
        <v>175</v>
      </c>
      <c r="AW42" s="446">
        <v>25</v>
      </c>
      <c r="AX42" s="230">
        <v>35</v>
      </c>
      <c r="AY42" s="211">
        <v>5</v>
      </c>
      <c r="AZ42" s="432">
        <v>175</v>
      </c>
      <c r="BA42" s="432">
        <v>25</v>
      </c>
      <c r="BB42" s="432">
        <v>875</v>
      </c>
      <c r="BC42" s="432">
        <v>125</v>
      </c>
      <c r="BD42" s="432">
        <v>35</v>
      </c>
      <c r="BE42" s="432">
        <v>5</v>
      </c>
      <c r="BF42" s="432">
        <f t="shared" ref="BF42:BG42" si="355">BD42*5</f>
        <v>175</v>
      </c>
      <c r="BG42" s="433">
        <f t="shared" si="355"/>
        <v>25</v>
      </c>
      <c r="BH42" s="427">
        <v>39</v>
      </c>
      <c r="BI42" s="211">
        <f t="shared" ref="BI42:BR42" si="356">BI41+T42</f>
        <v>356</v>
      </c>
      <c r="BJ42" s="211">
        <f t="shared" si="356"/>
        <v>23</v>
      </c>
      <c r="BK42" s="211">
        <f t="shared" si="356"/>
        <v>1424</v>
      </c>
      <c r="BL42" s="211">
        <f t="shared" si="356"/>
        <v>92</v>
      </c>
      <c r="BM42" s="211">
        <f t="shared" si="356"/>
        <v>7120</v>
      </c>
      <c r="BN42" s="211">
        <f t="shared" si="356"/>
        <v>460</v>
      </c>
      <c r="BO42" s="211">
        <f t="shared" si="356"/>
        <v>286</v>
      </c>
      <c r="BP42" s="211">
        <f t="shared" si="356"/>
        <v>20</v>
      </c>
      <c r="BQ42" s="211">
        <f t="shared" si="356"/>
        <v>1430</v>
      </c>
      <c r="BR42" s="211">
        <f t="shared" si="356"/>
        <v>100</v>
      </c>
      <c r="BS42" s="427">
        <v>39</v>
      </c>
      <c r="BT42" s="211">
        <f t="shared" ref="BT42:CC42" si="357">BT41+AD42</f>
        <v>465</v>
      </c>
      <c r="BU42" s="211">
        <f t="shared" si="357"/>
        <v>28</v>
      </c>
      <c r="BV42" s="211">
        <f t="shared" si="357"/>
        <v>1929</v>
      </c>
      <c r="BW42" s="211">
        <f t="shared" si="357"/>
        <v>114</v>
      </c>
      <c r="BX42" s="211">
        <f t="shared" si="357"/>
        <v>9645</v>
      </c>
      <c r="BY42" s="211">
        <f t="shared" si="357"/>
        <v>570</v>
      </c>
      <c r="BZ42" s="211">
        <f t="shared" si="357"/>
        <v>443</v>
      </c>
      <c r="CA42" s="211">
        <f t="shared" si="357"/>
        <v>23</v>
      </c>
      <c r="CB42" s="211">
        <f t="shared" si="357"/>
        <v>2215</v>
      </c>
      <c r="CC42" s="211">
        <f t="shared" si="357"/>
        <v>115</v>
      </c>
      <c r="CD42" s="427">
        <v>39</v>
      </c>
      <c r="CE42" s="211">
        <f t="shared" ref="CE42:CN42" si="358">CE41+AN42</f>
        <v>465</v>
      </c>
      <c r="CF42" s="211">
        <f t="shared" si="358"/>
        <v>28</v>
      </c>
      <c r="CG42" s="211">
        <f t="shared" si="358"/>
        <v>2325</v>
      </c>
      <c r="CH42" s="211">
        <f t="shared" si="358"/>
        <v>140</v>
      </c>
      <c r="CI42" s="211">
        <f t="shared" si="358"/>
        <v>11625</v>
      </c>
      <c r="CJ42" s="211">
        <f t="shared" si="358"/>
        <v>700</v>
      </c>
      <c r="CK42" s="211">
        <f t="shared" si="358"/>
        <v>465</v>
      </c>
      <c r="CL42" s="211">
        <f t="shared" si="358"/>
        <v>28</v>
      </c>
      <c r="CM42" s="211">
        <f t="shared" si="358"/>
        <v>2325</v>
      </c>
      <c r="CN42" s="211">
        <f t="shared" si="358"/>
        <v>140</v>
      </c>
      <c r="CO42" s="427">
        <v>39</v>
      </c>
      <c r="CP42" s="211">
        <f t="shared" ref="CP42:CY42" si="359">CP41+AX42</f>
        <v>465</v>
      </c>
      <c r="CQ42" s="211">
        <f t="shared" si="359"/>
        <v>28</v>
      </c>
      <c r="CR42" s="211">
        <f t="shared" si="359"/>
        <v>2325</v>
      </c>
      <c r="CS42" s="211">
        <f t="shared" si="359"/>
        <v>140</v>
      </c>
      <c r="CT42" s="211">
        <f t="shared" si="359"/>
        <v>11625</v>
      </c>
      <c r="CU42" s="211">
        <f t="shared" si="359"/>
        <v>700</v>
      </c>
      <c r="CV42" s="211">
        <f t="shared" si="359"/>
        <v>465</v>
      </c>
      <c r="CW42" s="211">
        <f t="shared" si="359"/>
        <v>28</v>
      </c>
      <c r="CX42" s="211">
        <f t="shared" si="359"/>
        <v>2325</v>
      </c>
      <c r="CY42" s="211">
        <f t="shared" si="359"/>
        <v>140</v>
      </c>
      <c r="CZ42" s="421">
        <v>39</v>
      </c>
      <c r="DA42" s="24">
        <v>130000</v>
      </c>
      <c r="DB42" s="211">
        <f t="shared" si="13"/>
        <v>1283600</v>
      </c>
      <c r="DC42" s="211"/>
      <c r="DD42" s="211">
        <f t="shared" si="14"/>
        <v>150</v>
      </c>
      <c r="DE42" s="211"/>
      <c r="DF42" s="211"/>
      <c r="DG42" s="211"/>
      <c r="DH42" s="290">
        <v>39</v>
      </c>
      <c r="DI42" s="291">
        <v>85000</v>
      </c>
      <c r="DJ42" s="292">
        <v>170000</v>
      </c>
      <c r="DK42" s="293">
        <v>340000</v>
      </c>
      <c r="DL42" s="290">
        <v>39</v>
      </c>
      <c r="DM42" s="291">
        <v>170000</v>
      </c>
      <c r="DN42" s="292">
        <v>255000</v>
      </c>
      <c r="DO42" s="293">
        <v>510000</v>
      </c>
      <c r="DP42" s="294">
        <v>39</v>
      </c>
      <c r="DQ42" s="292">
        <v>340000</v>
      </c>
      <c r="DR42" s="293">
        <v>680000</v>
      </c>
      <c r="DS42" s="290">
        <v>39</v>
      </c>
      <c r="DT42" s="211">
        <f t="shared" ref="DT42:DV42" si="360">DI42+DT41</f>
        <v>1293500</v>
      </c>
      <c r="DU42" s="211">
        <f t="shared" si="360"/>
        <v>2587000</v>
      </c>
      <c r="DV42" s="211">
        <f t="shared" si="360"/>
        <v>5174000</v>
      </c>
      <c r="DW42" s="211">
        <f t="shared" ref="DW42:DY42" si="361">DM42+DW41</f>
        <v>2587000</v>
      </c>
      <c r="DX42" s="211">
        <f t="shared" si="361"/>
        <v>3880500</v>
      </c>
      <c r="DY42" s="211">
        <f t="shared" si="361"/>
        <v>7761000</v>
      </c>
      <c r="DZ42" s="211">
        <v>0</v>
      </c>
      <c r="EA42" s="211">
        <f t="shared" ref="EA42:EB42" si="362">DQ42+EA41</f>
        <v>5174000</v>
      </c>
      <c r="EB42" s="211">
        <f t="shared" si="362"/>
        <v>10348000</v>
      </c>
      <c r="EC42" s="428">
        <v>39</v>
      </c>
      <c r="ED42" s="211"/>
      <c r="EE42" s="211">
        <f t="shared" si="18"/>
        <v>2</v>
      </c>
      <c r="EF42" s="211"/>
      <c r="EG42" s="211"/>
      <c r="EH42" s="211"/>
      <c r="EI42" s="211"/>
      <c r="EJ42" s="211"/>
      <c r="EK42" s="211"/>
      <c r="EL42" s="211"/>
      <c r="EM42" s="211"/>
      <c r="EN42" s="211"/>
    </row>
    <row r="43" spans="1:144" ht="15.75" customHeight="1" x14ac:dyDescent="0.2">
      <c r="A43" s="421">
        <v>40</v>
      </c>
      <c r="B43" s="211">
        <v>300</v>
      </c>
      <c r="C43" s="211">
        <f t="shared" si="4"/>
        <v>5150</v>
      </c>
      <c r="D43" s="421">
        <v>40</v>
      </c>
      <c r="E43" s="211">
        <v>7085</v>
      </c>
      <c r="F43" s="211">
        <f t="shared" si="5"/>
        <v>94947</v>
      </c>
      <c r="G43" s="211"/>
      <c r="M43" s="8"/>
      <c r="N43" s="8"/>
      <c r="O43" s="8"/>
      <c r="P43" s="8"/>
      <c r="Q43" s="8"/>
      <c r="R43" s="439"/>
      <c r="S43" s="426">
        <v>40</v>
      </c>
      <c r="T43" s="431">
        <v>30</v>
      </c>
      <c r="U43" s="432">
        <v>4</v>
      </c>
      <c r="V43" s="211">
        <v>120</v>
      </c>
      <c r="W43" s="211">
        <v>16</v>
      </c>
      <c r="X43" s="432">
        <v>600</v>
      </c>
      <c r="Y43" s="432">
        <v>80</v>
      </c>
      <c r="Z43" s="211">
        <v>24</v>
      </c>
      <c r="AA43" s="211">
        <v>3</v>
      </c>
      <c r="AB43" s="432">
        <v>120</v>
      </c>
      <c r="AC43" s="432">
        <v>15</v>
      </c>
      <c r="AD43" s="230">
        <v>40</v>
      </c>
      <c r="AE43" s="211">
        <v>5</v>
      </c>
      <c r="AF43" s="432">
        <v>160</v>
      </c>
      <c r="AG43" s="432">
        <v>20</v>
      </c>
      <c r="AH43" s="211">
        <v>800</v>
      </c>
      <c r="AI43" s="211">
        <v>100</v>
      </c>
      <c r="AJ43" s="69">
        <v>40</v>
      </c>
      <c r="AK43" s="69">
        <v>4</v>
      </c>
      <c r="AL43" s="435">
        <f t="shared" ref="AL43:AM43" si="363">AJ43*5</f>
        <v>200</v>
      </c>
      <c r="AM43" s="435">
        <f t="shared" si="363"/>
        <v>20</v>
      </c>
      <c r="AN43" s="432">
        <v>40</v>
      </c>
      <c r="AO43" s="432">
        <v>5</v>
      </c>
      <c r="AP43" s="432">
        <v>200</v>
      </c>
      <c r="AQ43" s="432">
        <v>25</v>
      </c>
      <c r="AR43" s="211">
        <v>1000</v>
      </c>
      <c r="AS43" s="211">
        <v>125</v>
      </c>
      <c r="AT43" s="432">
        <v>40</v>
      </c>
      <c r="AU43" s="432">
        <v>5</v>
      </c>
      <c r="AV43" s="432">
        <v>200</v>
      </c>
      <c r="AW43" s="433">
        <v>25</v>
      </c>
      <c r="AX43" s="230">
        <v>40</v>
      </c>
      <c r="AY43" s="211">
        <v>5</v>
      </c>
      <c r="AZ43" s="432">
        <v>200</v>
      </c>
      <c r="BA43" s="432">
        <v>25</v>
      </c>
      <c r="BB43" s="432">
        <v>1000</v>
      </c>
      <c r="BC43" s="432">
        <v>125</v>
      </c>
      <c r="BD43" s="432">
        <v>40</v>
      </c>
      <c r="BE43" s="432">
        <v>5</v>
      </c>
      <c r="BF43" s="432">
        <f t="shared" ref="BF43:BG43" si="364">BD43*5</f>
        <v>200</v>
      </c>
      <c r="BG43" s="433">
        <f t="shared" si="364"/>
        <v>25</v>
      </c>
      <c r="BH43" s="427">
        <v>40</v>
      </c>
      <c r="BI43" s="211">
        <f t="shared" ref="BI43:BR43" si="365">BI42+T43</f>
        <v>386</v>
      </c>
      <c r="BJ43" s="211">
        <f t="shared" si="365"/>
        <v>27</v>
      </c>
      <c r="BK43" s="211">
        <f t="shared" si="365"/>
        <v>1544</v>
      </c>
      <c r="BL43" s="211">
        <f t="shared" si="365"/>
        <v>108</v>
      </c>
      <c r="BM43" s="211">
        <f t="shared" si="365"/>
        <v>7720</v>
      </c>
      <c r="BN43" s="211">
        <f t="shared" si="365"/>
        <v>540</v>
      </c>
      <c r="BO43" s="211">
        <f t="shared" si="365"/>
        <v>310</v>
      </c>
      <c r="BP43" s="211">
        <f t="shared" si="365"/>
        <v>23</v>
      </c>
      <c r="BQ43" s="211">
        <f t="shared" si="365"/>
        <v>1550</v>
      </c>
      <c r="BR43" s="211">
        <f t="shared" si="365"/>
        <v>115</v>
      </c>
      <c r="BS43" s="427">
        <v>40</v>
      </c>
      <c r="BT43" s="211">
        <f t="shared" ref="BT43:CC43" si="366">BT42+AD43</f>
        <v>505</v>
      </c>
      <c r="BU43" s="211">
        <f t="shared" si="366"/>
        <v>33</v>
      </c>
      <c r="BV43" s="211">
        <f t="shared" si="366"/>
        <v>2089</v>
      </c>
      <c r="BW43" s="211">
        <f t="shared" si="366"/>
        <v>134</v>
      </c>
      <c r="BX43" s="211">
        <f t="shared" si="366"/>
        <v>10445</v>
      </c>
      <c r="BY43" s="211">
        <f t="shared" si="366"/>
        <v>670</v>
      </c>
      <c r="BZ43" s="211">
        <f t="shared" si="366"/>
        <v>483</v>
      </c>
      <c r="CA43" s="211">
        <f t="shared" si="366"/>
        <v>27</v>
      </c>
      <c r="CB43" s="211">
        <f t="shared" si="366"/>
        <v>2415</v>
      </c>
      <c r="CC43" s="211">
        <f t="shared" si="366"/>
        <v>135</v>
      </c>
      <c r="CD43" s="427">
        <v>40</v>
      </c>
      <c r="CE43" s="211">
        <f t="shared" ref="CE43:CN43" si="367">CE42+AN43</f>
        <v>505</v>
      </c>
      <c r="CF43" s="211">
        <f t="shared" si="367"/>
        <v>33</v>
      </c>
      <c r="CG43" s="211">
        <f t="shared" si="367"/>
        <v>2525</v>
      </c>
      <c r="CH43" s="211">
        <f t="shared" si="367"/>
        <v>165</v>
      </c>
      <c r="CI43" s="211">
        <f t="shared" si="367"/>
        <v>12625</v>
      </c>
      <c r="CJ43" s="211">
        <f t="shared" si="367"/>
        <v>825</v>
      </c>
      <c r="CK43" s="211">
        <f t="shared" si="367"/>
        <v>505</v>
      </c>
      <c r="CL43" s="211">
        <f t="shared" si="367"/>
        <v>33</v>
      </c>
      <c r="CM43" s="211">
        <f t="shared" si="367"/>
        <v>2525</v>
      </c>
      <c r="CN43" s="211">
        <f t="shared" si="367"/>
        <v>165</v>
      </c>
      <c r="CO43" s="427">
        <v>40</v>
      </c>
      <c r="CP43" s="211">
        <f t="shared" ref="CP43:CY43" si="368">CP42+AX43</f>
        <v>505</v>
      </c>
      <c r="CQ43" s="211">
        <f t="shared" si="368"/>
        <v>33</v>
      </c>
      <c r="CR43" s="211">
        <f t="shared" si="368"/>
        <v>2525</v>
      </c>
      <c r="CS43" s="211">
        <f t="shared" si="368"/>
        <v>165</v>
      </c>
      <c r="CT43" s="211">
        <f t="shared" si="368"/>
        <v>12625</v>
      </c>
      <c r="CU43" s="211">
        <f t="shared" si="368"/>
        <v>825</v>
      </c>
      <c r="CV43" s="211">
        <f t="shared" si="368"/>
        <v>505</v>
      </c>
      <c r="CW43" s="211">
        <f t="shared" si="368"/>
        <v>33</v>
      </c>
      <c r="CX43" s="211">
        <f t="shared" si="368"/>
        <v>2525</v>
      </c>
      <c r="CY43" s="211">
        <f t="shared" si="368"/>
        <v>165</v>
      </c>
      <c r="CZ43" s="421">
        <v>40</v>
      </c>
      <c r="DA43" s="24">
        <v>190000</v>
      </c>
      <c r="DB43" s="211">
        <f t="shared" si="13"/>
        <v>1473600</v>
      </c>
      <c r="DC43" s="211">
        <v>200</v>
      </c>
      <c r="DD43" s="211">
        <f t="shared" si="14"/>
        <v>350</v>
      </c>
      <c r="DE43" s="211"/>
      <c r="DF43" s="211"/>
      <c r="DG43" s="211"/>
      <c r="DH43" s="295">
        <v>40</v>
      </c>
      <c r="DI43" s="296">
        <v>87500</v>
      </c>
      <c r="DJ43" s="297">
        <v>175000</v>
      </c>
      <c r="DK43" s="298">
        <v>350000</v>
      </c>
      <c r="DL43" s="295">
        <v>40</v>
      </c>
      <c r="DM43" s="296">
        <v>175000</v>
      </c>
      <c r="DN43" s="297">
        <v>262500</v>
      </c>
      <c r="DO43" s="298">
        <v>525000</v>
      </c>
      <c r="DP43" s="299">
        <v>40</v>
      </c>
      <c r="DQ43" s="297">
        <v>350000</v>
      </c>
      <c r="DR43" s="298">
        <v>700000</v>
      </c>
      <c r="DS43" s="295">
        <v>40</v>
      </c>
      <c r="DT43" s="211">
        <f t="shared" ref="DT43:DV43" si="369">DI43+DT42</f>
        <v>1381000</v>
      </c>
      <c r="DU43" s="211">
        <f t="shared" si="369"/>
        <v>2762000</v>
      </c>
      <c r="DV43" s="211">
        <f t="shared" si="369"/>
        <v>5524000</v>
      </c>
      <c r="DW43" s="211">
        <f t="shared" ref="DW43:DY43" si="370">DM43+DW42</f>
        <v>2762000</v>
      </c>
      <c r="DX43" s="211">
        <f t="shared" si="370"/>
        <v>4143000</v>
      </c>
      <c r="DY43" s="211">
        <f t="shared" si="370"/>
        <v>8286000</v>
      </c>
      <c r="DZ43" s="211">
        <v>0</v>
      </c>
      <c r="EA43" s="211">
        <f t="shared" ref="EA43:EB43" si="371">DQ43+EA42</f>
        <v>5524000</v>
      </c>
      <c r="EB43" s="211">
        <f t="shared" si="371"/>
        <v>11048000</v>
      </c>
      <c r="EC43" s="428">
        <v>40</v>
      </c>
      <c r="ED43" s="211">
        <v>1</v>
      </c>
      <c r="EE43" s="211">
        <f t="shared" si="18"/>
        <v>3</v>
      </c>
      <c r="EF43" s="211"/>
      <c r="EG43" s="211"/>
      <c r="EH43" s="211"/>
      <c r="EI43" s="211"/>
      <c r="EJ43" s="211"/>
      <c r="EK43" s="211"/>
      <c r="EL43" s="211"/>
      <c r="EM43" s="211"/>
      <c r="EN43" s="211"/>
    </row>
    <row r="44" spans="1:144" ht="15.75" customHeight="1" x14ac:dyDescent="0.2">
      <c r="A44" s="421">
        <v>41</v>
      </c>
      <c r="B44" s="211">
        <v>310</v>
      </c>
      <c r="C44" s="211">
        <f t="shared" si="4"/>
        <v>5460</v>
      </c>
      <c r="D44" s="421">
        <v>41</v>
      </c>
      <c r="E44" s="211">
        <v>7469</v>
      </c>
      <c r="F44" s="211">
        <f t="shared" si="5"/>
        <v>102416</v>
      </c>
      <c r="G44" s="211"/>
      <c r="M44" s="8"/>
      <c r="N44" s="8"/>
      <c r="O44" s="8"/>
      <c r="P44" s="8"/>
      <c r="Q44" s="8"/>
      <c r="R44" s="439"/>
      <c r="S44" s="426">
        <v>41</v>
      </c>
      <c r="T44" s="143">
        <v>34</v>
      </c>
      <c r="U44" s="69">
        <v>4</v>
      </c>
      <c r="V44" s="211">
        <v>136</v>
      </c>
      <c r="W44" s="69">
        <v>16</v>
      </c>
      <c r="X44" s="432">
        <v>680</v>
      </c>
      <c r="Y44" s="432">
        <v>80</v>
      </c>
      <c r="Z44" s="211">
        <v>27</v>
      </c>
      <c r="AA44" s="211">
        <v>3</v>
      </c>
      <c r="AB44" s="432">
        <v>135</v>
      </c>
      <c r="AC44" s="432">
        <v>15</v>
      </c>
      <c r="AD44" s="230">
        <v>45</v>
      </c>
      <c r="AE44" s="211">
        <v>5</v>
      </c>
      <c r="AF44" s="211">
        <v>180</v>
      </c>
      <c r="AG44" s="211">
        <v>20</v>
      </c>
      <c r="AH44" s="211">
        <v>900</v>
      </c>
      <c r="AI44" s="211">
        <v>100</v>
      </c>
      <c r="AJ44" s="69">
        <v>40</v>
      </c>
      <c r="AK44" s="69">
        <v>4</v>
      </c>
      <c r="AL44" s="435">
        <f t="shared" ref="AL44:AM44" si="372">AJ44*5</f>
        <v>200</v>
      </c>
      <c r="AM44" s="435">
        <f t="shared" si="372"/>
        <v>20</v>
      </c>
      <c r="AN44" s="432">
        <v>45</v>
      </c>
      <c r="AO44" s="432">
        <v>5</v>
      </c>
      <c r="AP44" s="432">
        <v>225</v>
      </c>
      <c r="AQ44" s="432">
        <v>25</v>
      </c>
      <c r="AR44" s="432">
        <v>1125</v>
      </c>
      <c r="AS44" s="432">
        <v>125</v>
      </c>
      <c r="AT44" s="432">
        <v>45</v>
      </c>
      <c r="AU44" s="432">
        <v>5</v>
      </c>
      <c r="AV44" s="211">
        <v>225</v>
      </c>
      <c r="AW44" s="232">
        <v>25</v>
      </c>
      <c r="AX44" s="230">
        <v>45</v>
      </c>
      <c r="AY44" s="211">
        <v>5</v>
      </c>
      <c r="AZ44" s="432">
        <v>225</v>
      </c>
      <c r="BA44" s="432">
        <v>25</v>
      </c>
      <c r="BB44" s="211">
        <v>1125</v>
      </c>
      <c r="BC44" s="211">
        <v>125</v>
      </c>
      <c r="BD44" s="432">
        <v>45</v>
      </c>
      <c r="BE44" s="432">
        <v>5</v>
      </c>
      <c r="BF44" s="432">
        <f t="shared" ref="BF44:BG44" si="373">BD44*5</f>
        <v>225</v>
      </c>
      <c r="BG44" s="433">
        <f t="shared" si="373"/>
        <v>25</v>
      </c>
      <c r="BH44" s="427">
        <v>41</v>
      </c>
      <c r="BI44" s="211">
        <f t="shared" ref="BI44:BR44" si="374">BI43+T44</f>
        <v>420</v>
      </c>
      <c r="BJ44" s="211">
        <f t="shared" si="374"/>
        <v>31</v>
      </c>
      <c r="BK44" s="211">
        <f t="shared" si="374"/>
        <v>1680</v>
      </c>
      <c r="BL44" s="211">
        <f t="shared" si="374"/>
        <v>124</v>
      </c>
      <c r="BM44" s="211">
        <f t="shared" si="374"/>
        <v>8400</v>
      </c>
      <c r="BN44" s="211">
        <f t="shared" si="374"/>
        <v>620</v>
      </c>
      <c r="BO44" s="211">
        <f t="shared" si="374"/>
        <v>337</v>
      </c>
      <c r="BP44" s="211">
        <f t="shared" si="374"/>
        <v>26</v>
      </c>
      <c r="BQ44" s="211">
        <f t="shared" si="374"/>
        <v>1685</v>
      </c>
      <c r="BR44" s="211">
        <f t="shared" si="374"/>
        <v>130</v>
      </c>
      <c r="BS44" s="427">
        <v>41</v>
      </c>
      <c r="BT44" s="211">
        <f t="shared" ref="BT44:CC44" si="375">BT43+AD44</f>
        <v>550</v>
      </c>
      <c r="BU44" s="211">
        <f t="shared" si="375"/>
        <v>38</v>
      </c>
      <c r="BV44" s="211">
        <f t="shared" si="375"/>
        <v>2269</v>
      </c>
      <c r="BW44" s="211">
        <f t="shared" si="375"/>
        <v>154</v>
      </c>
      <c r="BX44" s="211">
        <f t="shared" si="375"/>
        <v>11345</v>
      </c>
      <c r="BY44" s="211">
        <f t="shared" si="375"/>
        <v>770</v>
      </c>
      <c r="BZ44" s="211">
        <f t="shared" si="375"/>
        <v>523</v>
      </c>
      <c r="CA44" s="211">
        <f t="shared" si="375"/>
        <v>31</v>
      </c>
      <c r="CB44" s="211">
        <f t="shared" si="375"/>
        <v>2615</v>
      </c>
      <c r="CC44" s="211">
        <f t="shared" si="375"/>
        <v>155</v>
      </c>
      <c r="CD44" s="427">
        <v>41</v>
      </c>
      <c r="CE44" s="211">
        <f t="shared" ref="CE44:CN44" si="376">CE43+AN44</f>
        <v>550</v>
      </c>
      <c r="CF44" s="211">
        <f t="shared" si="376"/>
        <v>38</v>
      </c>
      <c r="CG44" s="211">
        <f t="shared" si="376"/>
        <v>2750</v>
      </c>
      <c r="CH44" s="211">
        <f t="shared" si="376"/>
        <v>190</v>
      </c>
      <c r="CI44" s="211">
        <f t="shared" si="376"/>
        <v>13750</v>
      </c>
      <c r="CJ44" s="211">
        <f t="shared" si="376"/>
        <v>950</v>
      </c>
      <c r="CK44" s="211">
        <f t="shared" si="376"/>
        <v>550</v>
      </c>
      <c r="CL44" s="211">
        <f t="shared" si="376"/>
        <v>38</v>
      </c>
      <c r="CM44" s="211">
        <f t="shared" si="376"/>
        <v>2750</v>
      </c>
      <c r="CN44" s="211">
        <f t="shared" si="376"/>
        <v>190</v>
      </c>
      <c r="CO44" s="427">
        <v>41</v>
      </c>
      <c r="CP44" s="211">
        <f t="shared" ref="CP44:CY44" si="377">CP43+AX44</f>
        <v>550</v>
      </c>
      <c r="CQ44" s="211">
        <f t="shared" si="377"/>
        <v>38</v>
      </c>
      <c r="CR44" s="211">
        <f t="shared" si="377"/>
        <v>2750</v>
      </c>
      <c r="CS44" s="211">
        <f t="shared" si="377"/>
        <v>190</v>
      </c>
      <c r="CT44" s="211">
        <f t="shared" si="377"/>
        <v>13750</v>
      </c>
      <c r="CU44" s="211">
        <f t="shared" si="377"/>
        <v>950</v>
      </c>
      <c r="CV44" s="211">
        <f t="shared" si="377"/>
        <v>550</v>
      </c>
      <c r="CW44" s="211">
        <f t="shared" si="377"/>
        <v>38</v>
      </c>
      <c r="CX44" s="211">
        <f t="shared" si="377"/>
        <v>2750</v>
      </c>
      <c r="CY44" s="211">
        <f t="shared" si="377"/>
        <v>190</v>
      </c>
      <c r="CZ44" s="421">
        <v>41</v>
      </c>
      <c r="DA44" s="24">
        <v>200000</v>
      </c>
      <c r="DB44" s="211">
        <f t="shared" si="13"/>
        <v>1673600</v>
      </c>
      <c r="DC44" s="211"/>
      <c r="DD44" s="211">
        <f t="shared" si="14"/>
        <v>350</v>
      </c>
      <c r="DE44" s="211"/>
      <c r="DF44" s="211"/>
      <c r="DG44" s="211"/>
      <c r="DH44" s="295">
        <v>41</v>
      </c>
      <c r="DI44" s="296">
        <v>90000</v>
      </c>
      <c r="DJ44" s="297">
        <v>180000</v>
      </c>
      <c r="DK44" s="298">
        <v>360000</v>
      </c>
      <c r="DL44" s="295">
        <v>41</v>
      </c>
      <c r="DM44" s="296">
        <v>180000</v>
      </c>
      <c r="DN44" s="297">
        <v>270000</v>
      </c>
      <c r="DO44" s="298">
        <v>540000</v>
      </c>
      <c r="DP44" s="299">
        <v>41</v>
      </c>
      <c r="DQ44" s="297">
        <v>360000</v>
      </c>
      <c r="DR44" s="298">
        <v>720000</v>
      </c>
      <c r="DS44" s="295">
        <v>41</v>
      </c>
      <c r="DT44" s="211">
        <f t="shared" ref="DT44:DV44" si="378">DI44+DT43</f>
        <v>1471000</v>
      </c>
      <c r="DU44" s="211">
        <f t="shared" si="378"/>
        <v>2942000</v>
      </c>
      <c r="DV44" s="211">
        <f t="shared" si="378"/>
        <v>5884000</v>
      </c>
      <c r="DW44" s="211">
        <f t="shared" ref="DW44:DY44" si="379">DM44+DW43</f>
        <v>2942000</v>
      </c>
      <c r="DX44" s="211">
        <f t="shared" si="379"/>
        <v>4413000</v>
      </c>
      <c r="DY44" s="211">
        <f t="shared" si="379"/>
        <v>8826000</v>
      </c>
      <c r="DZ44" s="211">
        <v>0</v>
      </c>
      <c r="EA44" s="211">
        <f t="shared" ref="EA44:EB44" si="380">DQ44+EA43</f>
        <v>5884000</v>
      </c>
      <c r="EB44" s="211">
        <f t="shared" si="380"/>
        <v>11768000</v>
      </c>
      <c r="EC44" s="428">
        <v>41</v>
      </c>
      <c r="ED44" s="211"/>
      <c r="EE44" s="211">
        <f t="shared" si="18"/>
        <v>3</v>
      </c>
      <c r="EF44" s="211"/>
      <c r="EG44" s="211"/>
      <c r="EH44" s="211"/>
      <c r="EI44" s="211"/>
      <c r="EJ44" s="211"/>
      <c r="EK44" s="211"/>
      <c r="EL44" s="211"/>
      <c r="EM44" s="211"/>
      <c r="EN44" s="211"/>
    </row>
    <row r="45" spans="1:144" ht="15.75" customHeight="1" x14ac:dyDescent="0.2">
      <c r="A45" s="421">
        <v>42</v>
      </c>
      <c r="B45" s="211">
        <v>320</v>
      </c>
      <c r="C45" s="211">
        <f t="shared" si="4"/>
        <v>5780</v>
      </c>
      <c r="D45" s="421">
        <v>42</v>
      </c>
      <c r="E45" s="211">
        <v>7863</v>
      </c>
      <c r="F45" s="211">
        <f t="shared" si="5"/>
        <v>110279</v>
      </c>
      <c r="G45" s="211"/>
      <c r="M45" s="8"/>
      <c r="N45" s="8"/>
      <c r="O45" s="8"/>
      <c r="P45" s="8"/>
      <c r="Q45" s="8"/>
      <c r="R45" s="439"/>
      <c r="S45" s="426">
        <v>42</v>
      </c>
      <c r="T45" s="450">
        <v>34</v>
      </c>
      <c r="U45" s="437">
        <v>4</v>
      </c>
      <c r="V45" s="211">
        <v>136</v>
      </c>
      <c r="W45" s="69">
        <v>16</v>
      </c>
      <c r="X45" s="432">
        <v>680</v>
      </c>
      <c r="Y45" s="432">
        <v>80</v>
      </c>
      <c r="Z45" s="211">
        <v>27</v>
      </c>
      <c r="AA45" s="211">
        <v>3</v>
      </c>
      <c r="AB45" s="432">
        <v>135</v>
      </c>
      <c r="AC45" s="432">
        <v>15</v>
      </c>
      <c r="AD45" s="230">
        <v>45</v>
      </c>
      <c r="AE45" s="211">
        <v>5</v>
      </c>
      <c r="AF45" s="211">
        <v>180</v>
      </c>
      <c r="AG45" s="211">
        <v>20</v>
      </c>
      <c r="AH45" s="432">
        <v>900</v>
      </c>
      <c r="AI45" s="432">
        <v>100</v>
      </c>
      <c r="AJ45" s="69">
        <v>50</v>
      </c>
      <c r="AK45" s="69">
        <v>5</v>
      </c>
      <c r="AL45" s="435">
        <f t="shared" ref="AL45:AM45" si="381">AJ45*5</f>
        <v>250</v>
      </c>
      <c r="AM45" s="435">
        <f t="shared" si="381"/>
        <v>25</v>
      </c>
      <c r="AN45" s="432">
        <v>45</v>
      </c>
      <c r="AO45" s="432">
        <v>5</v>
      </c>
      <c r="AP45" s="432">
        <v>225</v>
      </c>
      <c r="AQ45" s="432">
        <v>25</v>
      </c>
      <c r="AR45" s="432">
        <v>1125</v>
      </c>
      <c r="AS45" s="432">
        <v>125</v>
      </c>
      <c r="AT45" s="211">
        <v>45</v>
      </c>
      <c r="AU45" s="211">
        <v>5</v>
      </c>
      <c r="AV45" s="432">
        <v>225</v>
      </c>
      <c r="AW45" s="433">
        <v>25</v>
      </c>
      <c r="AX45" s="230">
        <v>45</v>
      </c>
      <c r="AY45" s="211">
        <v>5</v>
      </c>
      <c r="AZ45" s="432">
        <v>225</v>
      </c>
      <c r="BA45" s="432">
        <v>25</v>
      </c>
      <c r="BB45" s="432">
        <v>1125</v>
      </c>
      <c r="BC45" s="432">
        <v>125</v>
      </c>
      <c r="BD45" s="432">
        <v>45</v>
      </c>
      <c r="BE45" s="432">
        <v>5</v>
      </c>
      <c r="BF45" s="432">
        <f t="shared" ref="BF45:BG45" si="382">BD45*5</f>
        <v>225</v>
      </c>
      <c r="BG45" s="433">
        <f t="shared" si="382"/>
        <v>25</v>
      </c>
      <c r="BH45" s="427">
        <v>42</v>
      </c>
      <c r="BI45" s="211">
        <f t="shared" ref="BI45:BR45" si="383">BI44+T45</f>
        <v>454</v>
      </c>
      <c r="BJ45" s="211">
        <f t="shared" si="383"/>
        <v>35</v>
      </c>
      <c r="BK45" s="211">
        <f t="shared" si="383"/>
        <v>1816</v>
      </c>
      <c r="BL45" s="211">
        <f t="shared" si="383"/>
        <v>140</v>
      </c>
      <c r="BM45" s="211">
        <f t="shared" si="383"/>
        <v>9080</v>
      </c>
      <c r="BN45" s="211">
        <f t="shared" si="383"/>
        <v>700</v>
      </c>
      <c r="BO45" s="211">
        <f t="shared" si="383"/>
        <v>364</v>
      </c>
      <c r="BP45" s="211">
        <f t="shared" si="383"/>
        <v>29</v>
      </c>
      <c r="BQ45" s="211">
        <f t="shared" si="383"/>
        <v>1820</v>
      </c>
      <c r="BR45" s="211">
        <f t="shared" si="383"/>
        <v>145</v>
      </c>
      <c r="BS45" s="427">
        <v>42</v>
      </c>
      <c r="BT45" s="211">
        <f t="shared" ref="BT45:CC45" si="384">BT44+AD45</f>
        <v>595</v>
      </c>
      <c r="BU45" s="211">
        <f t="shared" si="384"/>
        <v>43</v>
      </c>
      <c r="BV45" s="211">
        <f t="shared" si="384"/>
        <v>2449</v>
      </c>
      <c r="BW45" s="211">
        <f t="shared" si="384"/>
        <v>174</v>
      </c>
      <c r="BX45" s="211">
        <f t="shared" si="384"/>
        <v>12245</v>
      </c>
      <c r="BY45" s="211">
        <f t="shared" si="384"/>
        <v>870</v>
      </c>
      <c r="BZ45" s="211">
        <f t="shared" si="384"/>
        <v>573</v>
      </c>
      <c r="CA45" s="211">
        <f t="shared" si="384"/>
        <v>36</v>
      </c>
      <c r="CB45" s="211">
        <f t="shared" si="384"/>
        <v>2865</v>
      </c>
      <c r="CC45" s="211">
        <f t="shared" si="384"/>
        <v>180</v>
      </c>
      <c r="CD45" s="427">
        <v>42</v>
      </c>
      <c r="CE45" s="211">
        <f t="shared" ref="CE45:CN45" si="385">CE44+AN45</f>
        <v>595</v>
      </c>
      <c r="CF45" s="211">
        <f t="shared" si="385"/>
        <v>43</v>
      </c>
      <c r="CG45" s="211">
        <f t="shared" si="385"/>
        <v>2975</v>
      </c>
      <c r="CH45" s="211">
        <f t="shared" si="385"/>
        <v>215</v>
      </c>
      <c r="CI45" s="211">
        <f t="shared" si="385"/>
        <v>14875</v>
      </c>
      <c r="CJ45" s="211">
        <f t="shared" si="385"/>
        <v>1075</v>
      </c>
      <c r="CK45" s="211">
        <f t="shared" si="385"/>
        <v>595</v>
      </c>
      <c r="CL45" s="211">
        <f t="shared" si="385"/>
        <v>43</v>
      </c>
      <c r="CM45" s="211">
        <f t="shared" si="385"/>
        <v>2975</v>
      </c>
      <c r="CN45" s="211">
        <f t="shared" si="385"/>
        <v>215</v>
      </c>
      <c r="CO45" s="427">
        <v>42</v>
      </c>
      <c r="CP45" s="211">
        <f t="shared" ref="CP45:CY45" si="386">CP44+AX45</f>
        <v>595</v>
      </c>
      <c r="CQ45" s="211">
        <f t="shared" si="386"/>
        <v>43</v>
      </c>
      <c r="CR45" s="211">
        <f t="shared" si="386"/>
        <v>2975</v>
      </c>
      <c r="CS45" s="211">
        <f t="shared" si="386"/>
        <v>215</v>
      </c>
      <c r="CT45" s="211">
        <f t="shared" si="386"/>
        <v>14875</v>
      </c>
      <c r="CU45" s="211">
        <f t="shared" si="386"/>
        <v>1075</v>
      </c>
      <c r="CV45" s="211">
        <f t="shared" si="386"/>
        <v>595</v>
      </c>
      <c r="CW45" s="211">
        <f t="shared" si="386"/>
        <v>43</v>
      </c>
      <c r="CX45" s="211">
        <f t="shared" si="386"/>
        <v>2975</v>
      </c>
      <c r="CY45" s="211">
        <f t="shared" si="386"/>
        <v>215</v>
      </c>
      <c r="CZ45" s="421">
        <v>42</v>
      </c>
      <c r="DA45" s="24">
        <v>210000</v>
      </c>
      <c r="DB45" s="211">
        <f t="shared" si="13"/>
        <v>1883600</v>
      </c>
      <c r="DC45" s="211"/>
      <c r="DD45" s="211">
        <f t="shared" si="14"/>
        <v>350</v>
      </c>
      <c r="DE45" s="211"/>
      <c r="DF45" s="211"/>
      <c r="DG45" s="211"/>
      <c r="DH45" s="295">
        <v>42</v>
      </c>
      <c r="DI45" s="296">
        <v>92500</v>
      </c>
      <c r="DJ45" s="297">
        <v>185000</v>
      </c>
      <c r="DK45" s="298">
        <v>370000</v>
      </c>
      <c r="DL45" s="295">
        <v>42</v>
      </c>
      <c r="DM45" s="296">
        <v>185000</v>
      </c>
      <c r="DN45" s="297">
        <v>277500</v>
      </c>
      <c r="DO45" s="298">
        <v>555000</v>
      </c>
      <c r="DP45" s="299">
        <v>42</v>
      </c>
      <c r="DQ45" s="297">
        <v>370000</v>
      </c>
      <c r="DR45" s="298">
        <v>740000</v>
      </c>
      <c r="DS45" s="295">
        <v>42</v>
      </c>
      <c r="DT45" s="211">
        <f t="shared" ref="DT45:DV45" si="387">DI45+DT44</f>
        <v>1563500</v>
      </c>
      <c r="DU45" s="211">
        <f t="shared" si="387"/>
        <v>3127000</v>
      </c>
      <c r="DV45" s="211">
        <f t="shared" si="387"/>
        <v>6254000</v>
      </c>
      <c r="DW45" s="211">
        <f t="shared" ref="DW45:DY45" si="388">DM45+DW44</f>
        <v>3127000</v>
      </c>
      <c r="DX45" s="211">
        <f t="shared" si="388"/>
        <v>4690500</v>
      </c>
      <c r="DY45" s="211">
        <f t="shared" si="388"/>
        <v>9381000</v>
      </c>
      <c r="DZ45" s="211">
        <v>0</v>
      </c>
      <c r="EA45" s="211">
        <f t="shared" ref="EA45:EB45" si="389">DQ45+EA44</f>
        <v>6254000</v>
      </c>
      <c r="EB45" s="211">
        <f t="shared" si="389"/>
        <v>12508000</v>
      </c>
      <c r="EC45" s="428">
        <v>42</v>
      </c>
      <c r="ED45" s="211"/>
      <c r="EE45" s="211">
        <f t="shared" si="18"/>
        <v>3</v>
      </c>
      <c r="EF45" s="211"/>
      <c r="EG45" s="211"/>
      <c r="EH45" s="211"/>
      <c r="EI45" s="211"/>
      <c r="EJ45" s="211"/>
      <c r="EK45" s="211"/>
      <c r="EL45" s="211"/>
      <c r="EM45" s="211"/>
      <c r="EN45" s="211"/>
    </row>
    <row r="46" spans="1:144" ht="15.75" customHeight="1" x14ac:dyDescent="0.2">
      <c r="A46" s="421">
        <v>43</v>
      </c>
      <c r="B46" s="211">
        <v>330</v>
      </c>
      <c r="C46" s="211">
        <f t="shared" si="4"/>
        <v>6110</v>
      </c>
      <c r="D46" s="421">
        <v>43</v>
      </c>
      <c r="E46" s="211">
        <v>8269</v>
      </c>
      <c r="F46" s="211">
        <f t="shared" si="5"/>
        <v>118548</v>
      </c>
      <c r="G46" s="211"/>
      <c r="M46" s="8"/>
      <c r="N46" s="8"/>
      <c r="O46" s="8"/>
      <c r="P46" s="8"/>
      <c r="Q46" s="8"/>
      <c r="R46" s="439"/>
      <c r="S46" s="426">
        <v>43</v>
      </c>
      <c r="T46" s="431">
        <v>38</v>
      </c>
      <c r="U46" s="432">
        <v>5</v>
      </c>
      <c r="V46" s="211">
        <v>152</v>
      </c>
      <c r="W46" s="69">
        <v>20</v>
      </c>
      <c r="X46" s="432">
        <v>760</v>
      </c>
      <c r="Y46" s="432">
        <v>100</v>
      </c>
      <c r="Z46" s="211">
        <v>30</v>
      </c>
      <c r="AA46" s="211">
        <v>4</v>
      </c>
      <c r="AB46" s="432">
        <v>150</v>
      </c>
      <c r="AC46" s="432">
        <v>20</v>
      </c>
      <c r="AD46" s="230">
        <v>50</v>
      </c>
      <c r="AE46" s="211">
        <v>6</v>
      </c>
      <c r="AF46" s="432">
        <v>200</v>
      </c>
      <c r="AG46" s="432">
        <v>24</v>
      </c>
      <c r="AH46" s="211">
        <v>1000</v>
      </c>
      <c r="AI46" s="211">
        <v>120</v>
      </c>
      <c r="AJ46" s="69">
        <v>50</v>
      </c>
      <c r="AK46" s="69">
        <v>5</v>
      </c>
      <c r="AL46" s="435">
        <f t="shared" ref="AL46:AM46" si="390">AJ46*5</f>
        <v>250</v>
      </c>
      <c r="AM46" s="435">
        <f t="shared" si="390"/>
        <v>25</v>
      </c>
      <c r="AN46" s="432">
        <v>50</v>
      </c>
      <c r="AO46" s="432">
        <v>6</v>
      </c>
      <c r="AP46" s="432">
        <v>250</v>
      </c>
      <c r="AQ46" s="432">
        <v>30</v>
      </c>
      <c r="AR46" s="432">
        <v>1250</v>
      </c>
      <c r="AS46" s="432">
        <v>150</v>
      </c>
      <c r="AT46" s="432">
        <v>50</v>
      </c>
      <c r="AU46" s="432">
        <v>6</v>
      </c>
      <c r="AV46" s="211">
        <v>250</v>
      </c>
      <c r="AW46" s="232">
        <v>30</v>
      </c>
      <c r="AX46" s="230">
        <v>50</v>
      </c>
      <c r="AY46" s="211">
        <v>6</v>
      </c>
      <c r="AZ46" s="432">
        <v>250</v>
      </c>
      <c r="BA46" s="432">
        <v>30</v>
      </c>
      <c r="BB46" s="211">
        <v>1250</v>
      </c>
      <c r="BC46" s="211">
        <v>150</v>
      </c>
      <c r="BD46" s="211">
        <v>50</v>
      </c>
      <c r="BE46" s="211">
        <v>6</v>
      </c>
      <c r="BF46" s="432">
        <f t="shared" ref="BF46:BG46" si="391">BD46*5</f>
        <v>250</v>
      </c>
      <c r="BG46" s="433">
        <f t="shared" si="391"/>
        <v>30</v>
      </c>
      <c r="BH46" s="427">
        <v>43</v>
      </c>
      <c r="BI46" s="211">
        <f t="shared" ref="BI46:BR46" si="392">BI45+T46</f>
        <v>492</v>
      </c>
      <c r="BJ46" s="211">
        <f t="shared" si="392"/>
        <v>40</v>
      </c>
      <c r="BK46" s="211">
        <f t="shared" si="392"/>
        <v>1968</v>
      </c>
      <c r="BL46" s="211">
        <f t="shared" si="392"/>
        <v>160</v>
      </c>
      <c r="BM46" s="211">
        <f t="shared" si="392"/>
        <v>9840</v>
      </c>
      <c r="BN46" s="211">
        <f t="shared" si="392"/>
        <v>800</v>
      </c>
      <c r="BO46" s="211">
        <f t="shared" si="392"/>
        <v>394</v>
      </c>
      <c r="BP46" s="211">
        <f t="shared" si="392"/>
        <v>33</v>
      </c>
      <c r="BQ46" s="211">
        <f t="shared" si="392"/>
        <v>1970</v>
      </c>
      <c r="BR46" s="211">
        <f t="shared" si="392"/>
        <v>165</v>
      </c>
      <c r="BS46" s="427">
        <v>43</v>
      </c>
      <c r="BT46" s="211">
        <f t="shared" ref="BT46:CC46" si="393">BT45+AD46</f>
        <v>645</v>
      </c>
      <c r="BU46" s="211">
        <f t="shared" si="393"/>
        <v>49</v>
      </c>
      <c r="BV46" s="211">
        <f t="shared" si="393"/>
        <v>2649</v>
      </c>
      <c r="BW46" s="211">
        <f t="shared" si="393"/>
        <v>198</v>
      </c>
      <c r="BX46" s="211">
        <f t="shared" si="393"/>
        <v>13245</v>
      </c>
      <c r="BY46" s="211">
        <f t="shared" si="393"/>
        <v>990</v>
      </c>
      <c r="BZ46" s="211">
        <f t="shared" si="393"/>
        <v>623</v>
      </c>
      <c r="CA46" s="211">
        <f t="shared" si="393"/>
        <v>41</v>
      </c>
      <c r="CB46" s="211">
        <f t="shared" si="393"/>
        <v>3115</v>
      </c>
      <c r="CC46" s="211">
        <f t="shared" si="393"/>
        <v>205</v>
      </c>
      <c r="CD46" s="427">
        <v>43</v>
      </c>
      <c r="CE46" s="211">
        <f t="shared" ref="CE46:CN46" si="394">CE45+AN46</f>
        <v>645</v>
      </c>
      <c r="CF46" s="211">
        <f t="shared" si="394"/>
        <v>49</v>
      </c>
      <c r="CG46" s="211">
        <f t="shared" si="394"/>
        <v>3225</v>
      </c>
      <c r="CH46" s="211">
        <f t="shared" si="394"/>
        <v>245</v>
      </c>
      <c r="CI46" s="211">
        <f t="shared" si="394"/>
        <v>16125</v>
      </c>
      <c r="CJ46" s="211">
        <f t="shared" si="394"/>
        <v>1225</v>
      </c>
      <c r="CK46" s="211">
        <f t="shared" si="394"/>
        <v>645</v>
      </c>
      <c r="CL46" s="211">
        <f t="shared" si="394"/>
        <v>49</v>
      </c>
      <c r="CM46" s="211">
        <f t="shared" si="394"/>
        <v>3225</v>
      </c>
      <c r="CN46" s="211">
        <f t="shared" si="394"/>
        <v>245</v>
      </c>
      <c r="CO46" s="427">
        <v>43</v>
      </c>
      <c r="CP46" s="211">
        <f t="shared" ref="CP46:CY46" si="395">CP45+AX46</f>
        <v>645</v>
      </c>
      <c r="CQ46" s="211">
        <f t="shared" si="395"/>
        <v>49</v>
      </c>
      <c r="CR46" s="211">
        <f t="shared" si="395"/>
        <v>3225</v>
      </c>
      <c r="CS46" s="211">
        <f t="shared" si="395"/>
        <v>245</v>
      </c>
      <c r="CT46" s="211">
        <f t="shared" si="395"/>
        <v>16125</v>
      </c>
      <c r="CU46" s="211">
        <f t="shared" si="395"/>
        <v>1225</v>
      </c>
      <c r="CV46" s="211">
        <f t="shared" si="395"/>
        <v>645</v>
      </c>
      <c r="CW46" s="211">
        <f t="shared" si="395"/>
        <v>49</v>
      </c>
      <c r="CX46" s="211">
        <f t="shared" si="395"/>
        <v>3225</v>
      </c>
      <c r="CY46" s="211">
        <f t="shared" si="395"/>
        <v>245</v>
      </c>
      <c r="CZ46" s="421">
        <v>43</v>
      </c>
      <c r="DA46" s="24">
        <v>220000</v>
      </c>
      <c r="DB46" s="211">
        <f t="shared" si="13"/>
        <v>2103600</v>
      </c>
      <c r="DC46" s="211"/>
      <c r="DD46" s="211">
        <f t="shared" si="14"/>
        <v>350</v>
      </c>
      <c r="DE46" s="211"/>
      <c r="DF46" s="211"/>
      <c r="DG46" s="211"/>
      <c r="DH46" s="295">
        <v>43</v>
      </c>
      <c r="DI46" s="296">
        <v>95000</v>
      </c>
      <c r="DJ46" s="297">
        <v>190000</v>
      </c>
      <c r="DK46" s="298">
        <v>380000</v>
      </c>
      <c r="DL46" s="295">
        <v>43</v>
      </c>
      <c r="DM46" s="296">
        <v>190000</v>
      </c>
      <c r="DN46" s="297">
        <v>285000</v>
      </c>
      <c r="DO46" s="298">
        <v>570000</v>
      </c>
      <c r="DP46" s="299">
        <v>43</v>
      </c>
      <c r="DQ46" s="297">
        <v>380000</v>
      </c>
      <c r="DR46" s="298">
        <v>760000</v>
      </c>
      <c r="DS46" s="295">
        <v>43</v>
      </c>
      <c r="DT46" s="211">
        <f t="shared" ref="DT46:DV46" si="396">DI46+DT45</f>
        <v>1658500</v>
      </c>
      <c r="DU46" s="211">
        <f t="shared" si="396"/>
        <v>3317000</v>
      </c>
      <c r="DV46" s="211">
        <f t="shared" si="396"/>
        <v>6634000</v>
      </c>
      <c r="DW46" s="211">
        <f t="shared" ref="DW46:DY46" si="397">DM46+DW45</f>
        <v>3317000</v>
      </c>
      <c r="DX46" s="211">
        <f t="shared" si="397"/>
        <v>4975500</v>
      </c>
      <c r="DY46" s="211">
        <f t="shared" si="397"/>
        <v>9951000</v>
      </c>
      <c r="DZ46" s="211">
        <v>0</v>
      </c>
      <c r="EA46" s="211">
        <f t="shared" ref="EA46:EB46" si="398">DQ46+EA45</f>
        <v>6634000</v>
      </c>
      <c r="EB46" s="211">
        <f t="shared" si="398"/>
        <v>13268000</v>
      </c>
      <c r="EC46" s="428">
        <v>43</v>
      </c>
      <c r="ED46" s="211"/>
      <c r="EE46" s="211">
        <f t="shared" si="18"/>
        <v>3</v>
      </c>
      <c r="EF46" s="211"/>
      <c r="EG46" s="211"/>
      <c r="EH46" s="211"/>
      <c r="EI46" s="211"/>
      <c r="EJ46" s="211"/>
      <c r="EK46" s="211"/>
      <c r="EL46" s="211"/>
      <c r="EM46" s="211"/>
      <c r="EN46" s="211"/>
    </row>
    <row r="47" spans="1:144" ht="15.75" customHeight="1" x14ac:dyDescent="0.2">
      <c r="A47" s="421">
        <v>44</v>
      </c>
      <c r="B47" s="211">
        <v>340</v>
      </c>
      <c r="C47" s="211">
        <f t="shared" si="4"/>
        <v>6450</v>
      </c>
      <c r="D47" s="421">
        <v>44</v>
      </c>
      <c r="E47" s="211">
        <v>8686</v>
      </c>
      <c r="F47" s="211">
        <f t="shared" si="5"/>
        <v>127234</v>
      </c>
      <c r="G47" s="211"/>
      <c r="M47" s="8"/>
      <c r="N47" s="8"/>
      <c r="O47" s="8"/>
      <c r="P47" s="8"/>
      <c r="Q47" s="8"/>
      <c r="R47" s="439"/>
      <c r="S47" s="426">
        <v>44</v>
      </c>
      <c r="T47" s="230">
        <v>38</v>
      </c>
      <c r="U47" s="211">
        <v>5</v>
      </c>
      <c r="V47" s="211">
        <v>152</v>
      </c>
      <c r="W47" s="211">
        <v>20</v>
      </c>
      <c r="X47" s="211">
        <v>760</v>
      </c>
      <c r="Y47" s="211">
        <v>100</v>
      </c>
      <c r="Z47" s="211">
        <v>30</v>
      </c>
      <c r="AA47" s="211">
        <v>4</v>
      </c>
      <c r="AB47" s="432">
        <v>150</v>
      </c>
      <c r="AC47" s="432">
        <v>20</v>
      </c>
      <c r="AD47" s="230">
        <v>50</v>
      </c>
      <c r="AE47" s="211">
        <v>6</v>
      </c>
      <c r="AF47" s="432">
        <v>200</v>
      </c>
      <c r="AG47" s="432">
        <v>24</v>
      </c>
      <c r="AH47" s="211">
        <v>1000</v>
      </c>
      <c r="AI47" s="211">
        <v>120</v>
      </c>
      <c r="AJ47" s="69">
        <v>50</v>
      </c>
      <c r="AK47" s="69">
        <v>5</v>
      </c>
      <c r="AL47" s="435">
        <f t="shared" ref="AL47:AM47" si="399">AJ47*5</f>
        <v>250</v>
      </c>
      <c r="AM47" s="435">
        <f t="shared" si="399"/>
        <v>25</v>
      </c>
      <c r="AN47" s="432">
        <v>50</v>
      </c>
      <c r="AO47" s="432">
        <v>6</v>
      </c>
      <c r="AP47" s="432">
        <v>250</v>
      </c>
      <c r="AQ47" s="432">
        <v>30</v>
      </c>
      <c r="AR47" s="211">
        <v>1250</v>
      </c>
      <c r="AS47" s="211">
        <v>150</v>
      </c>
      <c r="AT47" s="432">
        <v>50</v>
      </c>
      <c r="AU47" s="432">
        <v>6</v>
      </c>
      <c r="AV47" s="432">
        <v>250</v>
      </c>
      <c r="AW47" s="433">
        <v>30</v>
      </c>
      <c r="AX47" s="230">
        <v>50</v>
      </c>
      <c r="AY47" s="211">
        <v>6</v>
      </c>
      <c r="AZ47" s="432">
        <v>250</v>
      </c>
      <c r="BA47" s="432">
        <v>30</v>
      </c>
      <c r="BB47" s="432">
        <v>1250</v>
      </c>
      <c r="BC47" s="432">
        <v>150</v>
      </c>
      <c r="BD47" s="211">
        <v>50</v>
      </c>
      <c r="BE47" s="211">
        <v>6</v>
      </c>
      <c r="BF47" s="432">
        <f t="shared" ref="BF47:BG47" si="400">BD47*5</f>
        <v>250</v>
      </c>
      <c r="BG47" s="433">
        <f t="shared" si="400"/>
        <v>30</v>
      </c>
      <c r="BH47" s="427">
        <v>44</v>
      </c>
      <c r="BI47" s="211">
        <f t="shared" ref="BI47:BR47" si="401">BI46+T47</f>
        <v>530</v>
      </c>
      <c r="BJ47" s="211">
        <f t="shared" si="401"/>
        <v>45</v>
      </c>
      <c r="BK47" s="211">
        <f t="shared" si="401"/>
        <v>2120</v>
      </c>
      <c r="BL47" s="211">
        <f t="shared" si="401"/>
        <v>180</v>
      </c>
      <c r="BM47" s="211">
        <f t="shared" si="401"/>
        <v>10600</v>
      </c>
      <c r="BN47" s="211">
        <f t="shared" si="401"/>
        <v>900</v>
      </c>
      <c r="BO47" s="211">
        <f t="shared" si="401"/>
        <v>424</v>
      </c>
      <c r="BP47" s="211">
        <f t="shared" si="401"/>
        <v>37</v>
      </c>
      <c r="BQ47" s="211">
        <f t="shared" si="401"/>
        <v>2120</v>
      </c>
      <c r="BR47" s="211">
        <f t="shared" si="401"/>
        <v>185</v>
      </c>
      <c r="BS47" s="427">
        <v>44</v>
      </c>
      <c r="BT47" s="211">
        <f t="shared" ref="BT47:CC47" si="402">BT46+AD47</f>
        <v>695</v>
      </c>
      <c r="BU47" s="211">
        <f t="shared" si="402"/>
        <v>55</v>
      </c>
      <c r="BV47" s="211">
        <f t="shared" si="402"/>
        <v>2849</v>
      </c>
      <c r="BW47" s="211">
        <f t="shared" si="402"/>
        <v>222</v>
      </c>
      <c r="BX47" s="211">
        <f t="shared" si="402"/>
        <v>14245</v>
      </c>
      <c r="BY47" s="211">
        <f t="shared" si="402"/>
        <v>1110</v>
      </c>
      <c r="BZ47" s="211">
        <f t="shared" si="402"/>
        <v>673</v>
      </c>
      <c r="CA47" s="211">
        <f t="shared" si="402"/>
        <v>46</v>
      </c>
      <c r="CB47" s="211">
        <f t="shared" si="402"/>
        <v>3365</v>
      </c>
      <c r="CC47" s="211">
        <f t="shared" si="402"/>
        <v>230</v>
      </c>
      <c r="CD47" s="427">
        <v>44</v>
      </c>
      <c r="CE47" s="211">
        <f t="shared" ref="CE47:CN47" si="403">CE46+AN47</f>
        <v>695</v>
      </c>
      <c r="CF47" s="211">
        <f t="shared" si="403"/>
        <v>55</v>
      </c>
      <c r="CG47" s="211">
        <f t="shared" si="403"/>
        <v>3475</v>
      </c>
      <c r="CH47" s="211">
        <f t="shared" si="403"/>
        <v>275</v>
      </c>
      <c r="CI47" s="211">
        <f t="shared" si="403"/>
        <v>17375</v>
      </c>
      <c r="CJ47" s="211">
        <f t="shared" si="403"/>
        <v>1375</v>
      </c>
      <c r="CK47" s="211">
        <f t="shared" si="403"/>
        <v>695</v>
      </c>
      <c r="CL47" s="211">
        <f t="shared" si="403"/>
        <v>55</v>
      </c>
      <c r="CM47" s="211">
        <f t="shared" si="403"/>
        <v>3475</v>
      </c>
      <c r="CN47" s="211">
        <f t="shared" si="403"/>
        <v>275</v>
      </c>
      <c r="CO47" s="427">
        <v>44</v>
      </c>
      <c r="CP47" s="211">
        <f t="shared" ref="CP47:CY47" si="404">CP46+AX47</f>
        <v>695</v>
      </c>
      <c r="CQ47" s="211">
        <f t="shared" si="404"/>
        <v>55</v>
      </c>
      <c r="CR47" s="211">
        <f t="shared" si="404"/>
        <v>3475</v>
      </c>
      <c r="CS47" s="211">
        <f t="shared" si="404"/>
        <v>275</v>
      </c>
      <c r="CT47" s="211">
        <f t="shared" si="404"/>
        <v>17375</v>
      </c>
      <c r="CU47" s="211">
        <f t="shared" si="404"/>
        <v>1375</v>
      </c>
      <c r="CV47" s="211">
        <f t="shared" si="404"/>
        <v>695</v>
      </c>
      <c r="CW47" s="211">
        <f t="shared" si="404"/>
        <v>55</v>
      </c>
      <c r="CX47" s="211">
        <f t="shared" si="404"/>
        <v>3475</v>
      </c>
      <c r="CY47" s="211">
        <f t="shared" si="404"/>
        <v>275</v>
      </c>
      <c r="CZ47" s="421">
        <v>44</v>
      </c>
      <c r="DA47" s="24">
        <v>230000</v>
      </c>
      <c r="DB47" s="211">
        <f t="shared" si="13"/>
        <v>2333600</v>
      </c>
      <c r="DC47" s="211"/>
      <c r="DD47" s="211">
        <f t="shared" si="14"/>
        <v>350</v>
      </c>
      <c r="DE47" s="211"/>
      <c r="DF47" s="211"/>
      <c r="DG47" s="211"/>
      <c r="DH47" s="295">
        <v>44</v>
      </c>
      <c r="DI47" s="296">
        <v>97500</v>
      </c>
      <c r="DJ47" s="297">
        <v>195000</v>
      </c>
      <c r="DK47" s="298">
        <v>390000</v>
      </c>
      <c r="DL47" s="295">
        <v>44</v>
      </c>
      <c r="DM47" s="296">
        <v>195000</v>
      </c>
      <c r="DN47" s="297">
        <v>292500</v>
      </c>
      <c r="DO47" s="298">
        <v>585000</v>
      </c>
      <c r="DP47" s="299">
        <v>44</v>
      </c>
      <c r="DQ47" s="297">
        <v>390000</v>
      </c>
      <c r="DR47" s="298">
        <v>780000</v>
      </c>
      <c r="DS47" s="295">
        <v>44</v>
      </c>
      <c r="DT47" s="211">
        <f t="shared" ref="DT47:DV47" si="405">DI47+DT46</f>
        <v>1756000</v>
      </c>
      <c r="DU47" s="211">
        <f t="shared" si="405"/>
        <v>3512000</v>
      </c>
      <c r="DV47" s="211">
        <f t="shared" si="405"/>
        <v>7024000</v>
      </c>
      <c r="DW47" s="211">
        <f t="shared" ref="DW47:DY47" si="406">DM47+DW46</f>
        <v>3512000</v>
      </c>
      <c r="DX47" s="211">
        <f t="shared" si="406"/>
        <v>5268000</v>
      </c>
      <c r="DY47" s="211">
        <f t="shared" si="406"/>
        <v>10536000</v>
      </c>
      <c r="DZ47" s="211">
        <v>0</v>
      </c>
      <c r="EA47" s="211">
        <f t="shared" ref="EA47:EB47" si="407">DQ47+EA46</f>
        <v>7024000</v>
      </c>
      <c r="EB47" s="211">
        <f t="shared" si="407"/>
        <v>14048000</v>
      </c>
      <c r="EC47" s="428">
        <v>44</v>
      </c>
      <c r="ED47" s="211"/>
      <c r="EE47" s="211">
        <f t="shared" si="18"/>
        <v>3</v>
      </c>
      <c r="EF47" s="211"/>
      <c r="EG47" s="211"/>
      <c r="EH47" s="211"/>
      <c r="EI47" s="211"/>
      <c r="EJ47" s="211"/>
      <c r="EK47" s="211"/>
      <c r="EL47" s="211"/>
      <c r="EM47" s="211"/>
      <c r="EN47" s="211"/>
    </row>
    <row r="48" spans="1:144" ht="15.75" customHeight="1" x14ac:dyDescent="0.2">
      <c r="A48" s="421">
        <v>45</v>
      </c>
      <c r="B48" s="211">
        <v>350</v>
      </c>
      <c r="C48" s="211">
        <f t="shared" si="4"/>
        <v>6800</v>
      </c>
      <c r="D48" s="421">
        <v>45</v>
      </c>
      <c r="E48" s="211">
        <v>9115</v>
      </c>
      <c r="F48" s="211">
        <f t="shared" si="5"/>
        <v>136349</v>
      </c>
      <c r="G48" s="211"/>
      <c r="M48" s="8"/>
      <c r="N48" s="8"/>
      <c r="O48" s="8"/>
      <c r="P48" s="8"/>
      <c r="Q48" s="8"/>
      <c r="R48" s="439"/>
      <c r="S48" s="426">
        <v>45</v>
      </c>
      <c r="T48" s="431">
        <v>41</v>
      </c>
      <c r="U48" s="432">
        <v>5</v>
      </c>
      <c r="V48" s="211">
        <v>164</v>
      </c>
      <c r="W48" s="69">
        <v>20</v>
      </c>
      <c r="X48" s="432">
        <v>820</v>
      </c>
      <c r="Y48" s="432">
        <v>100</v>
      </c>
      <c r="Z48" s="211">
        <v>33</v>
      </c>
      <c r="AA48" s="211">
        <v>4</v>
      </c>
      <c r="AB48" s="432">
        <v>165</v>
      </c>
      <c r="AC48" s="432">
        <v>20</v>
      </c>
      <c r="AD48" s="230">
        <v>55</v>
      </c>
      <c r="AE48" s="211">
        <v>7</v>
      </c>
      <c r="AF48" s="211">
        <v>220</v>
      </c>
      <c r="AG48" s="211">
        <v>28</v>
      </c>
      <c r="AH48" s="211">
        <v>1100</v>
      </c>
      <c r="AI48" s="211">
        <v>140</v>
      </c>
      <c r="AJ48" s="69">
        <v>60</v>
      </c>
      <c r="AK48" s="69">
        <v>6</v>
      </c>
      <c r="AL48" s="435">
        <f t="shared" ref="AL48:AM48" si="408">AJ48*5</f>
        <v>300</v>
      </c>
      <c r="AM48" s="435">
        <f t="shared" si="408"/>
        <v>30</v>
      </c>
      <c r="AN48" s="432">
        <v>55</v>
      </c>
      <c r="AO48" s="432">
        <v>7</v>
      </c>
      <c r="AP48" s="432">
        <v>275</v>
      </c>
      <c r="AQ48" s="432">
        <v>35</v>
      </c>
      <c r="AR48" s="211">
        <v>1375</v>
      </c>
      <c r="AS48" s="211">
        <v>175</v>
      </c>
      <c r="AT48" s="432">
        <v>55</v>
      </c>
      <c r="AU48" s="432">
        <v>7</v>
      </c>
      <c r="AV48" s="432">
        <v>275</v>
      </c>
      <c r="AW48" s="433">
        <v>35</v>
      </c>
      <c r="AX48" s="230">
        <v>55</v>
      </c>
      <c r="AY48" s="211">
        <v>7</v>
      </c>
      <c r="AZ48" s="211">
        <v>275</v>
      </c>
      <c r="BA48" s="211">
        <v>35</v>
      </c>
      <c r="BB48" s="432">
        <v>1375</v>
      </c>
      <c r="BC48" s="432">
        <v>175</v>
      </c>
      <c r="BD48" s="432">
        <v>55</v>
      </c>
      <c r="BE48" s="432">
        <v>7</v>
      </c>
      <c r="BF48" s="432">
        <f t="shared" ref="BF48:BG48" si="409">BD48*5</f>
        <v>275</v>
      </c>
      <c r="BG48" s="433">
        <f t="shared" si="409"/>
        <v>35</v>
      </c>
      <c r="BH48" s="427">
        <v>45</v>
      </c>
      <c r="BI48" s="211">
        <f t="shared" ref="BI48:BR48" si="410">BI47+T48</f>
        <v>571</v>
      </c>
      <c r="BJ48" s="211">
        <f t="shared" si="410"/>
        <v>50</v>
      </c>
      <c r="BK48" s="211">
        <f t="shared" si="410"/>
        <v>2284</v>
      </c>
      <c r="BL48" s="211">
        <f t="shared" si="410"/>
        <v>200</v>
      </c>
      <c r="BM48" s="211">
        <f t="shared" si="410"/>
        <v>11420</v>
      </c>
      <c r="BN48" s="211">
        <f t="shared" si="410"/>
        <v>1000</v>
      </c>
      <c r="BO48" s="211">
        <f t="shared" si="410"/>
        <v>457</v>
      </c>
      <c r="BP48" s="211">
        <f t="shared" si="410"/>
        <v>41</v>
      </c>
      <c r="BQ48" s="211">
        <f t="shared" si="410"/>
        <v>2285</v>
      </c>
      <c r="BR48" s="211">
        <f t="shared" si="410"/>
        <v>205</v>
      </c>
      <c r="BS48" s="427">
        <v>45</v>
      </c>
      <c r="BT48" s="211">
        <f t="shared" ref="BT48:CC48" si="411">BT47+AD48</f>
        <v>750</v>
      </c>
      <c r="BU48" s="211">
        <f t="shared" si="411"/>
        <v>62</v>
      </c>
      <c r="BV48" s="211">
        <f t="shared" si="411"/>
        <v>3069</v>
      </c>
      <c r="BW48" s="211">
        <f t="shared" si="411"/>
        <v>250</v>
      </c>
      <c r="BX48" s="211">
        <f t="shared" si="411"/>
        <v>15345</v>
      </c>
      <c r="BY48" s="211">
        <f t="shared" si="411"/>
        <v>1250</v>
      </c>
      <c r="BZ48" s="211">
        <f t="shared" si="411"/>
        <v>733</v>
      </c>
      <c r="CA48" s="211">
        <f t="shared" si="411"/>
        <v>52</v>
      </c>
      <c r="CB48" s="211">
        <f t="shared" si="411"/>
        <v>3665</v>
      </c>
      <c r="CC48" s="211">
        <f t="shared" si="411"/>
        <v>260</v>
      </c>
      <c r="CD48" s="427">
        <v>45</v>
      </c>
      <c r="CE48" s="211">
        <f t="shared" ref="CE48:CN48" si="412">CE47+AN48</f>
        <v>750</v>
      </c>
      <c r="CF48" s="211">
        <f t="shared" si="412"/>
        <v>62</v>
      </c>
      <c r="CG48" s="211">
        <f t="shared" si="412"/>
        <v>3750</v>
      </c>
      <c r="CH48" s="211">
        <f t="shared" si="412"/>
        <v>310</v>
      </c>
      <c r="CI48" s="211">
        <f t="shared" si="412"/>
        <v>18750</v>
      </c>
      <c r="CJ48" s="211">
        <f t="shared" si="412"/>
        <v>1550</v>
      </c>
      <c r="CK48" s="211">
        <f t="shared" si="412"/>
        <v>750</v>
      </c>
      <c r="CL48" s="211">
        <f t="shared" si="412"/>
        <v>62</v>
      </c>
      <c r="CM48" s="211">
        <f t="shared" si="412"/>
        <v>3750</v>
      </c>
      <c r="CN48" s="211">
        <f t="shared" si="412"/>
        <v>310</v>
      </c>
      <c r="CO48" s="427">
        <v>45</v>
      </c>
      <c r="CP48" s="211">
        <f t="shared" ref="CP48:CY48" si="413">CP47+AX48</f>
        <v>750</v>
      </c>
      <c r="CQ48" s="211">
        <f t="shared" si="413"/>
        <v>62</v>
      </c>
      <c r="CR48" s="211">
        <f t="shared" si="413"/>
        <v>3750</v>
      </c>
      <c r="CS48" s="211">
        <f t="shared" si="413"/>
        <v>310</v>
      </c>
      <c r="CT48" s="211">
        <f t="shared" si="413"/>
        <v>18750</v>
      </c>
      <c r="CU48" s="211">
        <f t="shared" si="413"/>
        <v>1550</v>
      </c>
      <c r="CV48" s="211">
        <f t="shared" si="413"/>
        <v>750</v>
      </c>
      <c r="CW48" s="211">
        <f t="shared" si="413"/>
        <v>62</v>
      </c>
      <c r="CX48" s="211">
        <f t="shared" si="413"/>
        <v>3750</v>
      </c>
      <c r="CY48" s="211">
        <f t="shared" si="413"/>
        <v>310</v>
      </c>
      <c r="CZ48" s="421">
        <v>45</v>
      </c>
      <c r="DA48" s="24">
        <v>240000</v>
      </c>
      <c r="DB48" s="211">
        <f t="shared" si="13"/>
        <v>2573600</v>
      </c>
      <c r="DC48" s="211"/>
      <c r="DD48" s="211">
        <f t="shared" si="14"/>
        <v>350</v>
      </c>
      <c r="DE48" s="211"/>
      <c r="DF48" s="211"/>
      <c r="DG48" s="211"/>
      <c r="DH48" s="300">
        <v>45</v>
      </c>
      <c r="DI48" s="301">
        <v>100000</v>
      </c>
      <c r="DJ48" s="302">
        <v>200000</v>
      </c>
      <c r="DK48" s="303">
        <v>400000</v>
      </c>
      <c r="DL48" s="300">
        <v>45</v>
      </c>
      <c r="DM48" s="301">
        <v>200000</v>
      </c>
      <c r="DN48" s="302">
        <v>300000</v>
      </c>
      <c r="DO48" s="303">
        <v>600000</v>
      </c>
      <c r="DP48" s="304">
        <v>45</v>
      </c>
      <c r="DQ48" s="302">
        <v>400000</v>
      </c>
      <c r="DR48" s="303">
        <v>800000</v>
      </c>
      <c r="DS48" s="300">
        <v>45</v>
      </c>
      <c r="DT48" s="211">
        <f t="shared" ref="DT48:DV48" si="414">DI48+DT47</f>
        <v>1856000</v>
      </c>
      <c r="DU48" s="211">
        <f t="shared" si="414"/>
        <v>3712000</v>
      </c>
      <c r="DV48" s="211">
        <f t="shared" si="414"/>
        <v>7424000</v>
      </c>
      <c r="DW48" s="211">
        <f t="shared" ref="DW48:DY48" si="415">DM48+DW47</f>
        <v>3712000</v>
      </c>
      <c r="DX48" s="211">
        <f t="shared" si="415"/>
        <v>5568000</v>
      </c>
      <c r="DY48" s="211">
        <f t="shared" si="415"/>
        <v>11136000</v>
      </c>
      <c r="DZ48" s="211">
        <v>0</v>
      </c>
      <c r="EA48" s="211">
        <f t="shared" ref="EA48:EB48" si="416">DQ48+EA47</f>
        <v>7424000</v>
      </c>
      <c r="EB48" s="211">
        <f t="shared" si="416"/>
        <v>14848000</v>
      </c>
      <c r="EC48" s="428">
        <v>45</v>
      </c>
      <c r="ED48" s="211">
        <v>2</v>
      </c>
      <c r="EE48" s="211">
        <f t="shared" si="18"/>
        <v>5</v>
      </c>
      <c r="EF48" s="211"/>
      <c r="EG48" s="211"/>
      <c r="EH48" s="211"/>
      <c r="EI48" s="211"/>
      <c r="EJ48" s="211"/>
      <c r="EK48" s="211"/>
      <c r="EL48" s="211"/>
      <c r="EM48" s="211"/>
      <c r="EN48" s="211"/>
    </row>
    <row r="49" spans="1:144" ht="15.75" customHeight="1" x14ac:dyDescent="0.2">
      <c r="A49" s="421">
        <v>46</v>
      </c>
      <c r="B49" s="211">
        <v>360</v>
      </c>
      <c r="C49" s="211">
        <f t="shared" si="4"/>
        <v>7160</v>
      </c>
      <c r="D49" s="421">
        <v>46</v>
      </c>
      <c r="E49" s="211">
        <v>9554</v>
      </c>
      <c r="F49" s="211">
        <f t="shared" si="5"/>
        <v>145903</v>
      </c>
      <c r="G49" s="211"/>
      <c r="M49" s="8"/>
      <c r="N49" s="8"/>
      <c r="O49" s="8"/>
      <c r="P49" s="8"/>
      <c r="Q49" s="8"/>
      <c r="R49" s="439"/>
      <c r="S49" s="426">
        <v>46</v>
      </c>
      <c r="T49" s="431">
        <v>41</v>
      </c>
      <c r="U49" s="432">
        <v>5</v>
      </c>
      <c r="V49" s="211">
        <v>164</v>
      </c>
      <c r="W49" s="69">
        <v>20</v>
      </c>
      <c r="X49" s="432">
        <v>820</v>
      </c>
      <c r="Y49" s="432">
        <v>100</v>
      </c>
      <c r="Z49" s="211">
        <v>33</v>
      </c>
      <c r="AA49" s="211">
        <v>4</v>
      </c>
      <c r="AB49" s="432">
        <v>165</v>
      </c>
      <c r="AC49" s="432">
        <v>20</v>
      </c>
      <c r="AD49" s="230">
        <v>55</v>
      </c>
      <c r="AE49" s="211">
        <v>7</v>
      </c>
      <c r="AF49" s="432">
        <v>220</v>
      </c>
      <c r="AG49" s="432">
        <v>28</v>
      </c>
      <c r="AH49" s="211">
        <v>1100</v>
      </c>
      <c r="AI49" s="211">
        <v>140</v>
      </c>
      <c r="AJ49" s="69">
        <v>60</v>
      </c>
      <c r="AK49" s="69">
        <v>6</v>
      </c>
      <c r="AL49" s="435">
        <f t="shared" ref="AL49:AM49" si="417">AJ49*5</f>
        <v>300</v>
      </c>
      <c r="AM49" s="435">
        <f t="shared" si="417"/>
        <v>30</v>
      </c>
      <c r="AN49" s="432">
        <v>55</v>
      </c>
      <c r="AO49" s="432">
        <v>7</v>
      </c>
      <c r="AP49" s="432">
        <v>275</v>
      </c>
      <c r="AQ49" s="432">
        <v>35</v>
      </c>
      <c r="AR49" s="432">
        <v>1375</v>
      </c>
      <c r="AS49" s="432">
        <v>175</v>
      </c>
      <c r="AT49" s="432">
        <v>55</v>
      </c>
      <c r="AU49" s="432">
        <v>7</v>
      </c>
      <c r="AV49" s="432">
        <v>275</v>
      </c>
      <c r="AW49" s="433">
        <v>35</v>
      </c>
      <c r="AX49" s="230">
        <v>55</v>
      </c>
      <c r="AY49" s="211">
        <v>7</v>
      </c>
      <c r="AZ49" s="432">
        <v>275</v>
      </c>
      <c r="BA49" s="432">
        <v>35</v>
      </c>
      <c r="BB49" s="211">
        <v>1375</v>
      </c>
      <c r="BC49" s="211">
        <v>175</v>
      </c>
      <c r="BD49" s="432">
        <v>55</v>
      </c>
      <c r="BE49" s="432">
        <v>7</v>
      </c>
      <c r="BF49" s="432">
        <f t="shared" ref="BF49:BG49" si="418">BD49*5</f>
        <v>275</v>
      </c>
      <c r="BG49" s="433">
        <f t="shared" si="418"/>
        <v>35</v>
      </c>
      <c r="BH49" s="427">
        <v>46</v>
      </c>
      <c r="BI49" s="211">
        <f t="shared" ref="BI49:BR49" si="419">BI48+T49</f>
        <v>612</v>
      </c>
      <c r="BJ49" s="211">
        <f t="shared" si="419"/>
        <v>55</v>
      </c>
      <c r="BK49" s="211">
        <f t="shared" si="419"/>
        <v>2448</v>
      </c>
      <c r="BL49" s="211">
        <f t="shared" si="419"/>
        <v>220</v>
      </c>
      <c r="BM49" s="211">
        <f t="shared" si="419"/>
        <v>12240</v>
      </c>
      <c r="BN49" s="211">
        <f t="shared" si="419"/>
        <v>1100</v>
      </c>
      <c r="BO49" s="211">
        <f t="shared" si="419"/>
        <v>490</v>
      </c>
      <c r="BP49" s="211">
        <f t="shared" si="419"/>
        <v>45</v>
      </c>
      <c r="BQ49" s="211">
        <f t="shared" si="419"/>
        <v>2450</v>
      </c>
      <c r="BR49" s="211">
        <f t="shared" si="419"/>
        <v>225</v>
      </c>
      <c r="BS49" s="427">
        <v>46</v>
      </c>
      <c r="BT49" s="211">
        <f t="shared" ref="BT49:CC49" si="420">BT48+AD49</f>
        <v>805</v>
      </c>
      <c r="BU49" s="211">
        <f t="shared" si="420"/>
        <v>69</v>
      </c>
      <c r="BV49" s="211">
        <f t="shared" si="420"/>
        <v>3289</v>
      </c>
      <c r="BW49" s="211">
        <f t="shared" si="420"/>
        <v>278</v>
      </c>
      <c r="BX49" s="211">
        <f t="shared" si="420"/>
        <v>16445</v>
      </c>
      <c r="BY49" s="211">
        <f t="shared" si="420"/>
        <v>1390</v>
      </c>
      <c r="BZ49" s="211">
        <f t="shared" si="420"/>
        <v>793</v>
      </c>
      <c r="CA49" s="211">
        <f t="shared" si="420"/>
        <v>58</v>
      </c>
      <c r="CB49" s="211">
        <f t="shared" si="420"/>
        <v>3965</v>
      </c>
      <c r="CC49" s="211">
        <f t="shared" si="420"/>
        <v>290</v>
      </c>
      <c r="CD49" s="427">
        <v>46</v>
      </c>
      <c r="CE49" s="211">
        <f t="shared" ref="CE49:CN49" si="421">CE48+AN49</f>
        <v>805</v>
      </c>
      <c r="CF49" s="211">
        <f t="shared" si="421"/>
        <v>69</v>
      </c>
      <c r="CG49" s="211">
        <f t="shared" si="421"/>
        <v>4025</v>
      </c>
      <c r="CH49" s="211">
        <f t="shared" si="421"/>
        <v>345</v>
      </c>
      <c r="CI49" s="211">
        <f t="shared" si="421"/>
        <v>20125</v>
      </c>
      <c r="CJ49" s="211">
        <f t="shared" si="421"/>
        <v>1725</v>
      </c>
      <c r="CK49" s="211">
        <f t="shared" si="421"/>
        <v>805</v>
      </c>
      <c r="CL49" s="211">
        <f t="shared" si="421"/>
        <v>69</v>
      </c>
      <c r="CM49" s="211">
        <f t="shared" si="421"/>
        <v>4025</v>
      </c>
      <c r="CN49" s="211">
        <f t="shared" si="421"/>
        <v>345</v>
      </c>
      <c r="CO49" s="427">
        <v>46</v>
      </c>
      <c r="CP49" s="211">
        <f t="shared" ref="CP49:CY49" si="422">CP48+AX49</f>
        <v>805</v>
      </c>
      <c r="CQ49" s="211">
        <f t="shared" si="422"/>
        <v>69</v>
      </c>
      <c r="CR49" s="211">
        <f t="shared" si="422"/>
        <v>4025</v>
      </c>
      <c r="CS49" s="211">
        <f t="shared" si="422"/>
        <v>345</v>
      </c>
      <c r="CT49" s="211">
        <f t="shared" si="422"/>
        <v>20125</v>
      </c>
      <c r="CU49" s="211">
        <f t="shared" si="422"/>
        <v>1725</v>
      </c>
      <c r="CV49" s="211">
        <f t="shared" si="422"/>
        <v>805</v>
      </c>
      <c r="CW49" s="211">
        <f t="shared" si="422"/>
        <v>69</v>
      </c>
      <c r="CX49" s="211">
        <f t="shared" si="422"/>
        <v>4025</v>
      </c>
      <c r="CY49" s="211">
        <f t="shared" si="422"/>
        <v>345</v>
      </c>
      <c r="CZ49" s="421">
        <v>46</v>
      </c>
      <c r="DA49" s="24">
        <v>250000</v>
      </c>
      <c r="DB49" s="211">
        <f t="shared" si="13"/>
        <v>2823600</v>
      </c>
      <c r="DC49" s="211"/>
      <c r="DD49" s="211">
        <f t="shared" si="14"/>
        <v>350</v>
      </c>
      <c r="DE49" s="211"/>
      <c r="DF49" s="211"/>
      <c r="DG49" s="211"/>
      <c r="DH49" s="300">
        <v>46</v>
      </c>
      <c r="DI49" s="301">
        <v>102500</v>
      </c>
      <c r="DJ49" s="302">
        <v>205000</v>
      </c>
      <c r="DK49" s="303">
        <v>410000</v>
      </c>
      <c r="DL49" s="300">
        <v>46</v>
      </c>
      <c r="DM49" s="301">
        <v>205000</v>
      </c>
      <c r="DN49" s="302">
        <v>307500</v>
      </c>
      <c r="DO49" s="303">
        <v>615000</v>
      </c>
      <c r="DP49" s="304">
        <v>46</v>
      </c>
      <c r="DQ49" s="302">
        <v>410000</v>
      </c>
      <c r="DR49" s="303">
        <v>820000</v>
      </c>
      <c r="DS49" s="300">
        <v>46</v>
      </c>
      <c r="DT49" s="211">
        <f t="shared" ref="DT49:DV49" si="423">DI49+DT48</f>
        <v>1958500</v>
      </c>
      <c r="DU49" s="211">
        <f t="shared" si="423"/>
        <v>3917000</v>
      </c>
      <c r="DV49" s="211">
        <f t="shared" si="423"/>
        <v>7834000</v>
      </c>
      <c r="DW49" s="211">
        <f t="shared" ref="DW49:DY49" si="424">DM49+DW48</f>
        <v>3917000</v>
      </c>
      <c r="DX49" s="211">
        <f t="shared" si="424"/>
        <v>5875500</v>
      </c>
      <c r="DY49" s="211">
        <f t="shared" si="424"/>
        <v>11751000</v>
      </c>
      <c r="DZ49" s="211">
        <v>0</v>
      </c>
      <c r="EA49" s="211">
        <f t="shared" ref="EA49:EB49" si="425">DQ49+EA48</f>
        <v>7834000</v>
      </c>
      <c r="EB49" s="211">
        <f t="shared" si="425"/>
        <v>15668000</v>
      </c>
      <c r="EC49" s="428">
        <v>46</v>
      </c>
      <c r="ED49" s="211"/>
      <c r="EE49" s="211">
        <f t="shared" si="18"/>
        <v>5</v>
      </c>
      <c r="EF49" s="211"/>
      <c r="EG49" s="211"/>
      <c r="EH49" s="211"/>
      <c r="EI49" s="211"/>
      <c r="EJ49" s="211"/>
      <c r="EK49" s="211"/>
      <c r="EL49" s="211"/>
      <c r="EM49" s="211"/>
      <c r="EN49" s="211"/>
    </row>
    <row r="50" spans="1:144" ht="15.75" customHeight="1" x14ac:dyDescent="0.2">
      <c r="A50" s="421">
        <v>47</v>
      </c>
      <c r="B50" s="211">
        <v>370</v>
      </c>
      <c r="C50" s="211">
        <f t="shared" si="4"/>
        <v>7530</v>
      </c>
      <c r="D50" s="421">
        <v>47</v>
      </c>
      <c r="E50" s="211">
        <v>10005</v>
      </c>
      <c r="F50" s="211">
        <f t="shared" si="5"/>
        <v>155908</v>
      </c>
      <c r="G50" s="211"/>
      <c r="M50" s="8"/>
      <c r="N50" s="8"/>
      <c r="O50" s="8"/>
      <c r="P50" s="8"/>
      <c r="Q50" s="8"/>
      <c r="R50" s="439"/>
      <c r="S50" s="426">
        <v>47</v>
      </c>
      <c r="T50" s="431">
        <v>45</v>
      </c>
      <c r="U50" s="432">
        <v>6</v>
      </c>
      <c r="V50" s="211">
        <v>180</v>
      </c>
      <c r="W50" s="69">
        <v>24</v>
      </c>
      <c r="X50" s="211">
        <v>900</v>
      </c>
      <c r="Y50" s="211">
        <v>120</v>
      </c>
      <c r="Z50" s="211">
        <v>36</v>
      </c>
      <c r="AA50" s="211">
        <v>4</v>
      </c>
      <c r="AB50" s="432">
        <v>180</v>
      </c>
      <c r="AC50" s="432">
        <v>20</v>
      </c>
      <c r="AD50" s="230">
        <v>60</v>
      </c>
      <c r="AE50" s="211">
        <v>8</v>
      </c>
      <c r="AF50" s="69">
        <v>240</v>
      </c>
      <c r="AG50" s="69">
        <v>32</v>
      </c>
      <c r="AH50" s="211">
        <v>1200</v>
      </c>
      <c r="AI50" s="211">
        <v>160</v>
      </c>
      <c r="AJ50" s="69">
        <v>60</v>
      </c>
      <c r="AK50" s="69">
        <v>6</v>
      </c>
      <c r="AL50" s="435">
        <f t="shared" ref="AL50:AM50" si="426">AJ50*5</f>
        <v>300</v>
      </c>
      <c r="AM50" s="435">
        <f t="shared" si="426"/>
        <v>30</v>
      </c>
      <c r="AN50" s="432">
        <v>60</v>
      </c>
      <c r="AO50" s="432">
        <v>8</v>
      </c>
      <c r="AP50" s="432">
        <v>300</v>
      </c>
      <c r="AQ50" s="432">
        <v>40</v>
      </c>
      <c r="AR50" s="432">
        <v>1500</v>
      </c>
      <c r="AS50" s="432">
        <v>200</v>
      </c>
      <c r="AT50" s="211">
        <v>60</v>
      </c>
      <c r="AU50" s="211">
        <v>8</v>
      </c>
      <c r="AV50" s="432">
        <v>300</v>
      </c>
      <c r="AW50" s="433">
        <v>40</v>
      </c>
      <c r="AX50" s="230">
        <v>60</v>
      </c>
      <c r="AY50" s="211">
        <v>8</v>
      </c>
      <c r="AZ50" s="432">
        <v>300</v>
      </c>
      <c r="BA50" s="432">
        <v>40</v>
      </c>
      <c r="BB50" s="432">
        <v>1500</v>
      </c>
      <c r="BC50" s="432">
        <v>200</v>
      </c>
      <c r="BD50" s="432">
        <v>60</v>
      </c>
      <c r="BE50" s="432">
        <v>8</v>
      </c>
      <c r="BF50" s="432">
        <f t="shared" ref="BF50:BG50" si="427">BD50*5</f>
        <v>300</v>
      </c>
      <c r="BG50" s="433">
        <f t="shared" si="427"/>
        <v>40</v>
      </c>
      <c r="BH50" s="427">
        <v>47</v>
      </c>
      <c r="BI50" s="211">
        <f t="shared" ref="BI50:BR50" si="428">BI49+T50</f>
        <v>657</v>
      </c>
      <c r="BJ50" s="211">
        <f t="shared" si="428"/>
        <v>61</v>
      </c>
      <c r="BK50" s="211">
        <f t="shared" si="428"/>
        <v>2628</v>
      </c>
      <c r="BL50" s="211">
        <f t="shared" si="428"/>
        <v>244</v>
      </c>
      <c r="BM50" s="211">
        <f t="shared" si="428"/>
        <v>13140</v>
      </c>
      <c r="BN50" s="211">
        <f t="shared" si="428"/>
        <v>1220</v>
      </c>
      <c r="BO50" s="211">
        <f t="shared" si="428"/>
        <v>526</v>
      </c>
      <c r="BP50" s="211">
        <f t="shared" si="428"/>
        <v>49</v>
      </c>
      <c r="BQ50" s="211">
        <f t="shared" si="428"/>
        <v>2630</v>
      </c>
      <c r="BR50" s="211">
        <f t="shared" si="428"/>
        <v>245</v>
      </c>
      <c r="BS50" s="427">
        <v>47</v>
      </c>
      <c r="BT50" s="211">
        <f t="shared" ref="BT50:CC50" si="429">BT49+AD50</f>
        <v>865</v>
      </c>
      <c r="BU50" s="211">
        <f t="shared" si="429"/>
        <v>77</v>
      </c>
      <c r="BV50" s="211">
        <f t="shared" si="429"/>
        <v>3529</v>
      </c>
      <c r="BW50" s="211">
        <f t="shared" si="429"/>
        <v>310</v>
      </c>
      <c r="BX50" s="211">
        <f t="shared" si="429"/>
        <v>17645</v>
      </c>
      <c r="BY50" s="211">
        <f t="shared" si="429"/>
        <v>1550</v>
      </c>
      <c r="BZ50" s="211">
        <f t="shared" si="429"/>
        <v>853</v>
      </c>
      <c r="CA50" s="211">
        <f t="shared" si="429"/>
        <v>64</v>
      </c>
      <c r="CB50" s="211">
        <f t="shared" si="429"/>
        <v>4265</v>
      </c>
      <c r="CC50" s="211">
        <f t="shared" si="429"/>
        <v>320</v>
      </c>
      <c r="CD50" s="427">
        <v>47</v>
      </c>
      <c r="CE50" s="211">
        <f t="shared" ref="CE50:CN50" si="430">CE49+AN50</f>
        <v>865</v>
      </c>
      <c r="CF50" s="211">
        <f t="shared" si="430"/>
        <v>77</v>
      </c>
      <c r="CG50" s="211">
        <f t="shared" si="430"/>
        <v>4325</v>
      </c>
      <c r="CH50" s="211">
        <f t="shared" si="430"/>
        <v>385</v>
      </c>
      <c r="CI50" s="211">
        <f t="shared" si="430"/>
        <v>21625</v>
      </c>
      <c r="CJ50" s="211">
        <f t="shared" si="430"/>
        <v>1925</v>
      </c>
      <c r="CK50" s="211">
        <f t="shared" si="430"/>
        <v>865</v>
      </c>
      <c r="CL50" s="211">
        <f t="shared" si="430"/>
        <v>77</v>
      </c>
      <c r="CM50" s="211">
        <f t="shared" si="430"/>
        <v>4325</v>
      </c>
      <c r="CN50" s="211">
        <f t="shared" si="430"/>
        <v>385</v>
      </c>
      <c r="CO50" s="427">
        <v>47</v>
      </c>
      <c r="CP50" s="211">
        <f t="shared" ref="CP50:CY50" si="431">CP49+AX50</f>
        <v>865</v>
      </c>
      <c r="CQ50" s="211">
        <f t="shared" si="431"/>
        <v>77</v>
      </c>
      <c r="CR50" s="211">
        <f t="shared" si="431"/>
        <v>4325</v>
      </c>
      <c r="CS50" s="211">
        <f t="shared" si="431"/>
        <v>385</v>
      </c>
      <c r="CT50" s="211">
        <f t="shared" si="431"/>
        <v>21625</v>
      </c>
      <c r="CU50" s="211">
        <f t="shared" si="431"/>
        <v>1925</v>
      </c>
      <c r="CV50" s="211">
        <f t="shared" si="431"/>
        <v>865</v>
      </c>
      <c r="CW50" s="211">
        <f t="shared" si="431"/>
        <v>77</v>
      </c>
      <c r="CX50" s="211">
        <f t="shared" si="431"/>
        <v>4325</v>
      </c>
      <c r="CY50" s="211">
        <f t="shared" si="431"/>
        <v>385</v>
      </c>
      <c r="CZ50" s="421">
        <v>47</v>
      </c>
      <c r="DA50" s="24">
        <v>260000</v>
      </c>
      <c r="DB50" s="211">
        <f t="shared" si="13"/>
        <v>3083600</v>
      </c>
      <c r="DC50" s="211"/>
      <c r="DD50" s="211">
        <f t="shared" si="14"/>
        <v>350</v>
      </c>
      <c r="DE50" s="211"/>
      <c r="DF50" s="211"/>
      <c r="DG50" s="211"/>
      <c r="DH50" s="300">
        <v>47</v>
      </c>
      <c r="DI50" s="301">
        <v>105000</v>
      </c>
      <c r="DJ50" s="302">
        <v>210000</v>
      </c>
      <c r="DK50" s="303">
        <v>420000</v>
      </c>
      <c r="DL50" s="300">
        <v>47</v>
      </c>
      <c r="DM50" s="301">
        <v>210000</v>
      </c>
      <c r="DN50" s="302">
        <v>315000</v>
      </c>
      <c r="DO50" s="303">
        <v>630000</v>
      </c>
      <c r="DP50" s="304">
        <v>47</v>
      </c>
      <c r="DQ50" s="302">
        <v>420000</v>
      </c>
      <c r="DR50" s="303">
        <v>840000</v>
      </c>
      <c r="DS50" s="300">
        <v>47</v>
      </c>
      <c r="DT50" s="211">
        <f t="shared" ref="DT50:DV50" si="432">DI50+DT49</f>
        <v>2063500</v>
      </c>
      <c r="DU50" s="211">
        <f t="shared" si="432"/>
        <v>4127000</v>
      </c>
      <c r="DV50" s="211">
        <f t="shared" si="432"/>
        <v>8254000</v>
      </c>
      <c r="DW50" s="211">
        <f t="shared" ref="DW50:DY50" si="433">DM50+DW49</f>
        <v>4127000</v>
      </c>
      <c r="DX50" s="211">
        <f t="shared" si="433"/>
        <v>6190500</v>
      </c>
      <c r="DY50" s="211">
        <f t="shared" si="433"/>
        <v>12381000</v>
      </c>
      <c r="DZ50" s="211">
        <v>0</v>
      </c>
      <c r="EA50" s="211">
        <f t="shared" ref="EA50:EB50" si="434">DQ50+EA49</f>
        <v>8254000</v>
      </c>
      <c r="EB50" s="211">
        <f t="shared" si="434"/>
        <v>16508000</v>
      </c>
      <c r="EC50" s="428">
        <v>47</v>
      </c>
      <c r="ED50" s="211"/>
      <c r="EE50" s="211">
        <f t="shared" si="18"/>
        <v>5</v>
      </c>
      <c r="EF50" s="211"/>
      <c r="EG50" s="211"/>
      <c r="EH50" s="211"/>
      <c r="EI50" s="211"/>
      <c r="EJ50" s="211"/>
      <c r="EK50" s="211"/>
      <c r="EL50" s="211"/>
      <c r="EM50" s="211"/>
      <c r="EN50" s="211"/>
    </row>
    <row r="51" spans="1:144" ht="15.75" customHeight="1" x14ac:dyDescent="0.2">
      <c r="A51" s="421">
        <v>48</v>
      </c>
      <c r="B51" s="211">
        <v>380</v>
      </c>
      <c r="C51" s="211">
        <f t="shared" si="4"/>
        <v>7910</v>
      </c>
      <c r="D51" s="421">
        <v>48</v>
      </c>
      <c r="E51" s="211">
        <v>10467</v>
      </c>
      <c r="F51" s="211">
        <f t="shared" si="5"/>
        <v>166375</v>
      </c>
      <c r="G51" s="211"/>
      <c r="M51" s="8"/>
      <c r="N51" s="8"/>
      <c r="O51" s="8"/>
      <c r="P51" s="8"/>
      <c r="Q51" s="8"/>
      <c r="R51" s="439"/>
      <c r="S51" s="426">
        <v>48</v>
      </c>
      <c r="T51" s="431">
        <v>45</v>
      </c>
      <c r="U51" s="432">
        <v>6</v>
      </c>
      <c r="V51" s="211">
        <v>180</v>
      </c>
      <c r="W51" s="69">
        <v>24</v>
      </c>
      <c r="X51" s="432">
        <v>900</v>
      </c>
      <c r="Y51" s="432">
        <v>120</v>
      </c>
      <c r="Z51" s="211">
        <v>36</v>
      </c>
      <c r="AA51" s="211">
        <v>5</v>
      </c>
      <c r="AB51" s="432">
        <v>180</v>
      </c>
      <c r="AC51" s="432">
        <v>25</v>
      </c>
      <c r="AD51" s="230">
        <v>60</v>
      </c>
      <c r="AE51" s="211">
        <v>8</v>
      </c>
      <c r="AF51" s="211">
        <v>240</v>
      </c>
      <c r="AG51" s="211">
        <v>32</v>
      </c>
      <c r="AH51" s="432">
        <v>1200</v>
      </c>
      <c r="AI51" s="432">
        <v>160</v>
      </c>
      <c r="AJ51" s="69">
        <v>60</v>
      </c>
      <c r="AK51" s="69">
        <v>6</v>
      </c>
      <c r="AL51" s="435">
        <f t="shared" ref="AL51:AM51" si="435">AJ51*5</f>
        <v>300</v>
      </c>
      <c r="AM51" s="435">
        <f t="shared" si="435"/>
        <v>30</v>
      </c>
      <c r="AN51" s="432">
        <v>60</v>
      </c>
      <c r="AO51" s="432">
        <v>8</v>
      </c>
      <c r="AP51" s="432">
        <v>300</v>
      </c>
      <c r="AQ51" s="432">
        <v>40</v>
      </c>
      <c r="AR51" s="432">
        <v>1500</v>
      </c>
      <c r="AS51" s="432">
        <v>200</v>
      </c>
      <c r="AT51" s="211">
        <v>60</v>
      </c>
      <c r="AU51" s="211">
        <v>8</v>
      </c>
      <c r="AV51" s="432">
        <v>300</v>
      </c>
      <c r="AW51" s="433">
        <v>40</v>
      </c>
      <c r="AX51" s="230">
        <v>60</v>
      </c>
      <c r="AY51" s="211">
        <v>8</v>
      </c>
      <c r="AZ51" s="432">
        <v>300</v>
      </c>
      <c r="BA51" s="432">
        <v>40</v>
      </c>
      <c r="BB51" s="432">
        <v>1500</v>
      </c>
      <c r="BC51" s="432">
        <v>200</v>
      </c>
      <c r="BD51" s="432">
        <v>60</v>
      </c>
      <c r="BE51" s="432">
        <v>8</v>
      </c>
      <c r="BF51" s="432">
        <f t="shared" ref="BF51:BG51" si="436">BD51*5</f>
        <v>300</v>
      </c>
      <c r="BG51" s="433">
        <f t="shared" si="436"/>
        <v>40</v>
      </c>
      <c r="BH51" s="427">
        <v>48</v>
      </c>
      <c r="BI51" s="211">
        <f t="shared" ref="BI51:BR51" si="437">BI50+T51</f>
        <v>702</v>
      </c>
      <c r="BJ51" s="211">
        <f t="shared" si="437"/>
        <v>67</v>
      </c>
      <c r="BK51" s="211">
        <f t="shared" si="437"/>
        <v>2808</v>
      </c>
      <c r="BL51" s="211">
        <f t="shared" si="437"/>
        <v>268</v>
      </c>
      <c r="BM51" s="211">
        <f t="shared" si="437"/>
        <v>14040</v>
      </c>
      <c r="BN51" s="211">
        <f t="shared" si="437"/>
        <v>1340</v>
      </c>
      <c r="BO51" s="211">
        <f t="shared" si="437"/>
        <v>562</v>
      </c>
      <c r="BP51" s="211">
        <f t="shared" si="437"/>
        <v>54</v>
      </c>
      <c r="BQ51" s="211">
        <f t="shared" si="437"/>
        <v>2810</v>
      </c>
      <c r="BR51" s="211">
        <f t="shared" si="437"/>
        <v>270</v>
      </c>
      <c r="BS51" s="427">
        <v>48</v>
      </c>
      <c r="BT51" s="211">
        <f t="shared" ref="BT51:CC51" si="438">BT50+AD51</f>
        <v>925</v>
      </c>
      <c r="BU51" s="211">
        <f t="shared" si="438"/>
        <v>85</v>
      </c>
      <c r="BV51" s="211">
        <f t="shared" si="438"/>
        <v>3769</v>
      </c>
      <c r="BW51" s="211">
        <f t="shared" si="438"/>
        <v>342</v>
      </c>
      <c r="BX51" s="211">
        <f t="shared" si="438"/>
        <v>18845</v>
      </c>
      <c r="BY51" s="211">
        <f t="shared" si="438"/>
        <v>1710</v>
      </c>
      <c r="BZ51" s="211">
        <f t="shared" si="438"/>
        <v>913</v>
      </c>
      <c r="CA51" s="211">
        <f t="shared" si="438"/>
        <v>70</v>
      </c>
      <c r="CB51" s="211">
        <f t="shared" si="438"/>
        <v>4565</v>
      </c>
      <c r="CC51" s="211">
        <f t="shared" si="438"/>
        <v>350</v>
      </c>
      <c r="CD51" s="427">
        <v>48</v>
      </c>
      <c r="CE51" s="211">
        <f t="shared" ref="CE51:CN51" si="439">CE50+AN51</f>
        <v>925</v>
      </c>
      <c r="CF51" s="211">
        <f t="shared" si="439"/>
        <v>85</v>
      </c>
      <c r="CG51" s="211">
        <f t="shared" si="439"/>
        <v>4625</v>
      </c>
      <c r="CH51" s="211">
        <f t="shared" si="439"/>
        <v>425</v>
      </c>
      <c r="CI51" s="211">
        <f t="shared" si="439"/>
        <v>23125</v>
      </c>
      <c r="CJ51" s="211">
        <f t="shared" si="439"/>
        <v>2125</v>
      </c>
      <c r="CK51" s="211">
        <f t="shared" si="439"/>
        <v>925</v>
      </c>
      <c r="CL51" s="211">
        <f t="shared" si="439"/>
        <v>85</v>
      </c>
      <c r="CM51" s="211">
        <f t="shared" si="439"/>
        <v>4625</v>
      </c>
      <c r="CN51" s="211">
        <f t="shared" si="439"/>
        <v>425</v>
      </c>
      <c r="CO51" s="427">
        <v>48</v>
      </c>
      <c r="CP51" s="211">
        <f t="shared" ref="CP51:CY51" si="440">CP50+AX51</f>
        <v>925</v>
      </c>
      <c r="CQ51" s="211">
        <f t="shared" si="440"/>
        <v>85</v>
      </c>
      <c r="CR51" s="211">
        <f t="shared" si="440"/>
        <v>4625</v>
      </c>
      <c r="CS51" s="211">
        <f t="shared" si="440"/>
        <v>425</v>
      </c>
      <c r="CT51" s="211">
        <f t="shared" si="440"/>
        <v>23125</v>
      </c>
      <c r="CU51" s="211">
        <f t="shared" si="440"/>
        <v>2125</v>
      </c>
      <c r="CV51" s="211">
        <f t="shared" si="440"/>
        <v>925</v>
      </c>
      <c r="CW51" s="211">
        <f t="shared" si="440"/>
        <v>85</v>
      </c>
      <c r="CX51" s="211">
        <f t="shared" si="440"/>
        <v>4625</v>
      </c>
      <c r="CY51" s="211">
        <f t="shared" si="440"/>
        <v>425</v>
      </c>
      <c r="CZ51" s="421">
        <v>48</v>
      </c>
      <c r="DA51" s="24">
        <v>270000</v>
      </c>
      <c r="DB51" s="211">
        <f t="shared" si="13"/>
        <v>3353600</v>
      </c>
      <c r="DC51" s="211"/>
      <c r="DD51" s="211">
        <f t="shared" si="14"/>
        <v>350</v>
      </c>
      <c r="DE51" s="211"/>
      <c r="DF51" s="211"/>
      <c r="DG51" s="211"/>
      <c r="DH51" s="300">
        <v>48</v>
      </c>
      <c r="DI51" s="301">
        <v>107500</v>
      </c>
      <c r="DJ51" s="302">
        <v>215000</v>
      </c>
      <c r="DK51" s="303">
        <v>430000</v>
      </c>
      <c r="DL51" s="300">
        <v>48</v>
      </c>
      <c r="DM51" s="301">
        <v>215000</v>
      </c>
      <c r="DN51" s="302">
        <v>322500</v>
      </c>
      <c r="DO51" s="303">
        <v>645000</v>
      </c>
      <c r="DP51" s="304">
        <v>48</v>
      </c>
      <c r="DQ51" s="302">
        <v>430000</v>
      </c>
      <c r="DR51" s="303">
        <v>860000</v>
      </c>
      <c r="DS51" s="300">
        <v>48</v>
      </c>
      <c r="DT51" s="211">
        <f t="shared" ref="DT51:DV51" si="441">DI51+DT50</f>
        <v>2171000</v>
      </c>
      <c r="DU51" s="211">
        <f t="shared" si="441"/>
        <v>4342000</v>
      </c>
      <c r="DV51" s="211">
        <f t="shared" si="441"/>
        <v>8684000</v>
      </c>
      <c r="DW51" s="211">
        <f t="shared" ref="DW51:DY51" si="442">DM51+DW50</f>
        <v>4342000</v>
      </c>
      <c r="DX51" s="211">
        <f t="shared" si="442"/>
        <v>6513000</v>
      </c>
      <c r="DY51" s="211">
        <f t="shared" si="442"/>
        <v>13026000</v>
      </c>
      <c r="DZ51" s="211">
        <v>0</v>
      </c>
      <c r="EA51" s="211">
        <f t="shared" ref="EA51:EB51" si="443">DQ51+EA50</f>
        <v>8684000</v>
      </c>
      <c r="EB51" s="211">
        <f t="shared" si="443"/>
        <v>17368000</v>
      </c>
      <c r="EC51" s="428">
        <v>48</v>
      </c>
      <c r="ED51" s="211"/>
      <c r="EE51" s="211">
        <f t="shared" si="18"/>
        <v>5</v>
      </c>
      <c r="EF51" s="211"/>
      <c r="EG51" s="211"/>
      <c r="EH51" s="211"/>
      <c r="EI51" s="211"/>
      <c r="EJ51" s="211"/>
      <c r="EK51" s="211"/>
      <c r="EL51" s="211"/>
      <c r="EM51" s="211"/>
      <c r="EN51" s="211"/>
    </row>
    <row r="52" spans="1:144" ht="15.75" customHeight="1" x14ac:dyDescent="0.2">
      <c r="A52" s="421">
        <v>49</v>
      </c>
      <c r="B52" s="211">
        <v>390</v>
      </c>
      <c r="C52" s="211">
        <f t="shared" si="4"/>
        <v>8300</v>
      </c>
      <c r="D52" s="421">
        <v>49</v>
      </c>
      <c r="E52" s="211">
        <v>10941</v>
      </c>
      <c r="F52" s="211">
        <f t="shared" si="5"/>
        <v>177316</v>
      </c>
      <c r="G52" s="211"/>
      <c r="M52" s="8"/>
      <c r="N52" s="8"/>
      <c r="O52" s="8"/>
      <c r="P52" s="8"/>
      <c r="Q52" s="8"/>
      <c r="R52" s="439"/>
      <c r="S52" s="426">
        <v>49</v>
      </c>
      <c r="T52" s="230">
        <v>45</v>
      </c>
      <c r="U52" s="211">
        <v>6</v>
      </c>
      <c r="V52" s="211">
        <v>180</v>
      </c>
      <c r="W52" s="69">
        <v>24</v>
      </c>
      <c r="X52" s="432">
        <v>900</v>
      </c>
      <c r="Y52" s="432">
        <v>120</v>
      </c>
      <c r="Z52" s="432">
        <v>36</v>
      </c>
      <c r="AA52" s="432">
        <v>5</v>
      </c>
      <c r="AB52" s="432">
        <v>180</v>
      </c>
      <c r="AC52" s="432">
        <v>25</v>
      </c>
      <c r="AD52" s="230">
        <v>60</v>
      </c>
      <c r="AE52" s="211">
        <v>8</v>
      </c>
      <c r="AF52" s="211">
        <v>240</v>
      </c>
      <c r="AG52" s="211">
        <v>32</v>
      </c>
      <c r="AH52" s="211">
        <v>1200</v>
      </c>
      <c r="AI52" s="211">
        <v>160</v>
      </c>
      <c r="AJ52" s="69">
        <v>60</v>
      </c>
      <c r="AK52" s="69">
        <v>6</v>
      </c>
      <c r="AL52" s="435">
        <f t="shared" ref="AL52:AM52" si="444">AJ52*5</f>
        <v>300</v>
      </c>
      <c r="AM52" s="435">
        <f t="shared" si="444"/>
        <v>30</v>
      </c>
      <c r="AN52" s="432">
        <v>60</v>
      </c>
      <c r="AO52" s="432">
        <v>8</v>
      </c>
      <c r="AP52" s="432">
        <v>300</v>
      </c>
      <c r="AQ52" s="432">
        <v>40</v>
      </c>
      <c r="AR52" s="432">
        <v>1500</v>
      </c>
      <c r="AS52" s="432">
        <v>200</v>
      </c>
      <c r="AT52" s="432">
        <v>60</v>
      </c>
      <c r="AU52" s="432">
        <v>8</v>
      </c>
      <c r="AV52" s="432">
        <v>300</v>
      </c>
      <c r="AW52" s="433">
        <v>40</v>
      </c>
      <c r="AX52" s="230">
        <v>60</v>
      </c>
      <c r="AY52" s="211">
        <v>8</v>
      </c>
      <c r="AZ52" s="432">
        <v>300</v>
      </c>
      <c r="BA52" s="432">
        <v>40</v>
      </c>
      <c r="BB52" s="432">
        <v>1500</v>
      </c>
      <c r="BC52" s="432">
        <v>200</v>
      </c>
      <c r="BD52" s="432">
        <v>60</v>
      </c>
      <c r="BE52" s="432">
        <v>8</v>
      </c>
      <c r="BF52" s="432">
        <f t="shared" ref="BF52:BG52" si="445">BD52*5</f>
        <v>300</v>
      </c>
      <c r="BG52" s="433">
        <f t="shared" si="445"/>
        <v>40</v>
      </c>
      <c r="BH52" s="427">
        <v>49</v>
      </c>
      <c r="BI52" s="211">
        <f t="shared" ref="BI52:BR52" si="446">BI51+T52</f>
        <v>747</v>
      </c>
      <c r="BJ52" s="211">
        <f t="shared" si="446"/>
        <v>73</v>
      </c>
      <c r="BK52" s="211">
        <f t="shared" si="446"/>
        <v>2988</v>
      </c>
      <c r="BL52" s="211">
        <f t="shared" si="446"/>
        <v>292</v>
      </c>
      <c r="BM52" s="211">
        <f t="shared" si="446"/>
        <v>14940</v>
      </c>
      <c r="BN52" s="211">
        <f t="shared" si="446"/>
        <v>1460</v>
      </c>
      <c r="BO52" s="211">
        <f t="shared" si="446"/>
        <v>598</v>
      </c>
      <c r="BP52" s="211">
        <f t="shared" si="446"/>
        <v>59</v>
      </c>
      <c r="BQ52" s="211">
        <f t="shared" si="446"/>
        <v>2990</v>
      </c>
      <c r="BR52" s="211">
        <f t="shared" si="446"/>
        <v>295</v>
      </c>
      <c r="BS52" s="427">
        <v>49</v>
      </c>
      <c r="BT52" s="211">
        <f t="shared" ref="BT52:CC52" si="447">BT51+AD52</f>
        <v>985</v>
      </c>
      <c r="BU52" s="211">
        <f t="shared" si="447"/>
        <v>93</v>
      </c>
      <c r="BV52" s="211">
        <f t="shared" si="447"/>
        <v>4009</v>
      </c>
      <c r="BW52" s="211">
        <f t="shared" si="447"/>
        <v>374</v>
      </c>
      <c r="BX52" s="211">
        <f t="shared" si="447"/>
        <v>20045</v>
      </c>
      <c r="BY52" s="211">
        <f t="shared" si="447"/>
        <v>1870</v>
      </c>
      <c r="BZ52" s="211">
        <f t="shared" si="447"/>
        <v>973</v>
      </c>
      <c r="CA52" s="211">
        <f t="shared" si="447"/>
        <v>76</v>
      </c>
      <c r="CB52" s="211">
        <f t="shared" si="447"/>
        <v>4865</v>
      </c>
      <c r="CC52" s="211">
        <f t="shared" si="447"/>
        <v>380</v>
      </c>
      <c r="CD52" s="427">
        <v>49</v>
      </c>
      <c r="CE52" s="211">
        <f t="shared" ref="CE52:CN52" si="448">CE51+AN52</f>
        <v>985</v>
      </c>
      <c r="CF52" s="211">
        <f t="shared" si="448"/>
        <v>93</v>
      </c>
      <c r="CG52" s="211">
        <f t="shared" si="448"/>
        <v>4925</v>
      </c>
      <c r="CH52" s="211">
        <f t="shared" si="448"/>
        <v>465</v>
      </c>
      <c r="CI52" s="211">
        <f t="shared" si="448"/>
        <v>24625</v>
      </c>
      <c r="CJ52" s="211">
        <f t="shared" si="448"/>
        <v>2325</v>
      </c>
      <c r="CK52" s="211">
        <f t="shared" si="448"/>
        <v>985</v>
      </c>
      <c r="CL52" s="211">
        <f t="shared" si="448"/>
        <v>93</v>
      </c>
      <c r="CM52" s="211">
        <f t="shared" si="448"/>
        <v>4925</v>
      </c>
      <c r="CN52" s="211">
        <f t="shared" si="448"/>
        <v>465</v>
      </c>
      <c r="CO52" s="427">
        <v>49</v>
      </c>
      <c r="CP52" s="211">
        <f t="shared" ref="CP52:CY52" si="449">CP51+AX52</f>
        <v>985</v>
      </c>
      <c r="CQ52" s="211">
        <f t="shared" si="449"/>
        <v>93</v>
      </c>
      <c r="CR52" s="211">
        <f t="shared" si="449"/>
        <v>4925</v>
      </c>
      <c r="CS52" s="211">
        <f t="shared" si="449"/>
        <v>465</v>
      </c>
      <c r="CT52" s="211">
        <f t="shared" si="449"/>
        <v>24625</v>
      </c>
      <c r="CU52" s="211">
        <f t="shared" si="449"/>
        <v>2325</v>
      </c>
      <c r="CV52" s="211">
        <f t="shared" si="449"/>
        <v>985</v>
      </c>
      <c r="CW52" s="211">
        <f t="shared" si="449"/>
        <v>93</v>
      </c>
      <c r="CX52" s="211">
        <f t="shared" si="449"/>
        <v>4925</v>
      </c>
      <c r="CY52" s="211">
        <f t="shared" si="449"/>
        <v>465</v>
      </c>
      <c r="CZ52" s="421">
        <v>49</v>
      </c>
      <c r="DA52" s="24">
        <v>280000</v>
      </c>
      <c r="DB52" s="211">
        <f t="shared" si="13"/>
        <v>3633600</v>
      </c>
      <c r="DC52" s="211"/>
      <c r="DD52" s="211">
        <f t="shared" si="14"/>
        <v>350</v>
      </c>
      <c r="DE52" s="211"/>
      <c r="DF52" s="211"/>
      <c r="DG52" s="211"/>
      <c r="DH52" s="300">
        <v>49</v>
      </c>
      <c r="DI52" s="301">
        <v>110000</v>
      </c>
      <c r="DJ52" s="302">
        <v>220000</v>
      </c>
      <c r="DK52" s="303">
        <v>440000</v>
      </c>
      <c r="DL52" s="300">
        <v>49</v>
      </c>
      <c r="DM52" s="301">
        <v>220000</v>
      </c>
      <c r="DN52" s="302">
        <v>330000</v>
      </c>
      <c r="DO52" s="303">
        <v>660000</v>
      </c>
      <c r="DP52" s="304">
        <v>49</v>
      </c>
      <c r="DQ52" s="302">
        <v>440000</v>
      </c>
      <c r="DR52" s="303">
        <v>880000</v>
      </c>
      <c r="DS52" s="300">
        <v>49</v>
      </c>
      <c r="DT52" s="211">
        <f t="shared" ref="DT52:DV52" si="450">DI52+DT51</f>
        <v>2281000</v>
      </c>
      <c r="DU52" s="211">
        <f t="shared" si="450"/>
        <v>4562000</v>
      </c>
      <c r="DV52" s="211">
        <f t="shared" si="450"/>
        <v>9124000</v>
      </c>
      <c r="DW52" s="211">
        <f t="shared" ref="DW52:DY52" si="451">DM52+DW51</f>
        <v>4562000</v>
      </c>
      <c r="DX52" s="211">
        <f t="shared" si="451"/>
        <v>6843000</v>
      </c>
      <c r="DY52" s="211">
        <f t="shared" si="451"/>
        <v>13686000</v>
      </c>
      <c r="DZ52" s="211">
        <v>0</v>
      </c>
      <c r="EA52" s="211">
        <f t="shared" ref="EA52:EB52" si="452">DQ52+EA51</f>
        <v>9124000</v>
      </c>
      <c r="EB52" s="211">
        <f t="shared" si="452"/>
        <v>18248000</v>
      </c>
      <c r="EC52" s="428">
        <v>49</v>
      </c>
      <c r="ED52" s="211"/>
      <c r="EE52" s="211">
        <f t="shared" si="18"/>
        <v>5</v>
      </c>
      <c r="EF52" s="211"/>
      <c r="EG52" s="211"/>
      <c r="EH52" s="211"/>
      <c r="EI52" s="211"/>
      <c r="EJ52" s="211"/>
      <c r="EK52" s="211"/>
      <c r="EL52" s="211"/>
      <c r="EM52" s="211"/>
      <c r="EN52" s="211"/>
    </row>
    <row r="53" spans="1:144" ht="15.75" customHeight="1" x14ac:dyDescent="0.2">
      <c r="A53" s="421">
        <v>50</v>
      </c>
      <c r="B53" s="211">
        <v>400</v>
      </c>
      <c r="C53" s="211">
        <f t="shared" si="4"/>
        <v>8700</v>
      </c>
      <c r="D53" s="421">
        <v>50</v>
      </c>
      <c r="E53" s="211"/>
      <c r="F53" s="211">
        <f t="shared" si="5"/>
        <v>177316</v>
      </c>
      <c r="G53" s="211"/>
      <c r="M53" s="8"/>
      <c r="N53" s="8"/>
      <c r="O53" s="8"/>
      <c r="P53" s="8"/>
      <c r="Q53" s="8"/>
      <c r="R53" s="439"/>
      <c r="S53" s="426">
        <v>50</v>
      </c>
      <c r="T53" s="431">
        <v>53</v>
      </c>
      <c r="U53" s="432">
        <v>6</v>
      </c>
      <c r="V53" s="211">
        <v>212</v>
      </c>
      <c r="W53" s="211">
        <v>24</v>
      </c>
      <c r="X53" s="432">
        <v>1060</v>
      </c>
      <c r="Y53" s="432">
        <v>120</v>
      </c>
      <c r="Z53" s="211">
        <v>42</v>
      </c>
      <c r="AA53" s="211">
        <v>5</v>
      </c>
      <c r="AB53" s="432">
        <v>210</v>
      </c>
      <c r="AC53" s="432">
        <v>25</v>
      </c>
      <c r="AD53" s="230">
        <v>70</v>
      </c>
      <c r="AE53" s="211">
        <v>8</v>
      </c>
      <c r="AF53" s="211">
        <v>280</v>
      </c>
      <c r="AG53" s="211">
        <v>32</v>
      </c>
      <c r="AH53" s="432">
        <v>1400</v>
      </c>
      <c r="AI53" s="432">
        <v>160</v>
      </c>
      <c r="AJ53" s="69">
        <v>65</v>
      </c>
      <c r="AK53" s="69">
        <v>6</v>
      </c>
      <c r="AL53" s="435">
        <f t="shared" ref="AL53:AM53" si="453">AJ53*5</f>
        <v>325</v>
      </c>
      <c r="AM53" s="435">
        <f t="shared" si="453"/>
        <v>30</v>
      </c>
      <c r="AN53" s="432">
        <v>70</v>
      </c>
      <c r="AO53" s="432">
        <v>8</v>
      </c>
      <c r="AP53" s="432">
        <v>350</v>
      </c>
      <c r="AQ53" s="432">
        <v>40</v>
      </c>
      <c r="AR53" s="432">
        <v>1750</v>
      </c>
      <c r="AS53" s="432">
        <v>200</v>
      </c>
      <c r="AT53" s="211">
        <v>70</v>
      </c>
      <c r="AU53" s="211">
        <v>8</v>
      </c>
      <c r="AV53" s="432">
        <v>350</v>
      </c>
      <c r="AW53" s="433">
        <v>40</v>
      </c>
      <c r="AX53" s="230">
        <v>70</v>
      </c>
      <c r="AY53" s="211">
        <v>8</v>
      </c>
      <c r="AZ53" s="432">
        <v>350</v>
      </c>
      <c r="BA53" s="432">
        <v>40</v>
      </c>
      <c r="BB53" s="432">
        <v>1750</v>
      </c>
      <c r="BC53" s="432">
        <v>200</v>
      </c>
      <c r="BD53" s="432">
        <v>70</v>
      </c>
      <c r="BE53" s="432">
        <v>8</v>
      </c>
      <c r="BF53" s="432">
        <f t="shared" ref="BF53:BG53" si="454">BD53*5</f>
        <v>350</v>
      </c>
      <c r="BG53" s="433">
        <f t="shared" si="454"/>
        <v>40</v>
      </c>
      <c r="BH53" s="427">
        <v>50</v>
      </c>
      <c r="BI53" s="211">
        <f t="shared" ref="BI53:BR53" si="455">BI52+T53</f>
        <v>800</v>
      </c>
      <c r="BJ53" s="211">
        <f t="shared" si="455"/>
        <v>79</v>
      </c>
      <c r="BK53" s="211">
        <f t="shared" si="455"/>
        <v>3200</v>
      </c>
      <c r="BL53" s="211">
        <f t="shared" si="455"/>
        <v>316</v>
      </c>
      <c r="BM53" s="211">
        <f t="shared" si="455"/>
        <v>16000</v>
      </c>
      <c r="BN53" s="211">
        <f t="shared" si="455"/>
        <v>1580</v>
      </c>
      <c r="BO53" s="211">
        <f t="shared" si="455"/>
        <v>640</v>
      </c>
      <c r="BP53" s="211">
        <f t="shared" si="455"/>
        <v>64</v>
      </c>
      <c r="BQ53" s="211">
        <f t="shared" si="455"/>
        <v>3200</v>
      </c>
      <c r="BR53" s="211">
        <f t="shared" si="455"/>
        <v>320</v>
      </c>
      <c r="BS53" s="427">
        <v>50</v>
      </c>
      <c r="BT53" s="211">
        <f t="shared" ref="BT53:CC53" si="456">BT52+AD53</f>
        <v>1055</v>
      </c>
      <c r="BU53" s="211">
        <f t="shared" si="456"/>
        <v>101</v>
      </c>
      <c r="BV53" s="211">
        <f t="shared" si="456"/>
        <v>4289</v>
      </c>
      <c r="BW53" s="211">
        <f t="shared" si="456"/>
        <v>406</v>
      </c>
      <c r="BX53" s="211">
        <f t="shared" si="456"/>
        <v>21445</v>
      </c>
      <c r="BY53" s="211">
        <f t="shared" si="456"/>
        <v>2030</v>
      </c>
      <c r="BZ53" s="211">
        <f t="shared" si="456"/>
        <v>1038</v>
      </c>
      <c r="CA53" s="211">
        <f t="shared" si="456"/>
        <v>82</v>
      </c>
      <c r="CB53" s="211">
        <f t="shared" si="456"/>
        <v>5190</v>
      </c>
      <c r="CC53" s="211">
        <f t="shared" si="456"/>
        <v>410</v>
      </c>
      <c r="CD53" s="427">
        <v>50</v>
      </c>
      <c r="CE53" s="211">
        <f t="shared" ref="CE53:CN53" si="457">CE52+AN53</f>
        <v>1055</v>
      </c>
      <c r="CF53" s="211">
        <f t="shared" si="457"/>
        <v>101</v>
      </c>
      <c r="CG53" s="211">
        <f t="shared" si="457"/>
        <v>5275</v>
      </c>
      <c r="CH53" s="211">
        <f t="shared" si="457"/>
        <v>505</v>
      </c>
      <c r="CI53" s="211">
        <f t="shared" si="457"/>
        <v>26375</v>
      </c>
      <c r="CJ53" s="211">
        <f t="shared" si="457"/>
        <v>2525</v>
      </c>
      <c r="CK53" s="211">
        <f t="shared" si="457"/>
        <v>1055</v>
      </c>
      <c r="CL53" s="211">
        <f t="shared" si="457"/>
        <v>101</v>
      </c>
      <c r="CM53" s="211">
        <f t="shared" si="457"/>
        <v>5275</v>
      </c>
      <c r="CN53" s="211">
        <f t="shared" si="457"/>
        <v>505</v>
      </c>
      <c r="CO53" s="427">
        <v>50</v>
      </c>
      <c r="CP53" s="211">
        <f t="shared" ref="CP53:CY53" si="458">CP52+AX53</f>
        <v>1055</v>
      </c>
      <c r="CQ53" s="211">
        <f t="shared" si="458"/>
        <v>101</v>
      </c>
      <c r="CR53" s="211">
        <f t="shared" si="458"/>
        <v>5275</v>
      </c>
      <c r="CS53" s="211">
        <f t="shared" si="458"/>
        <v>505</v>
      </c>
      <c r="CT53" s="211">
        <f t="shared" si="458"/>
        <v>26375</v>
      </c>
      <c r="CU53" s="211">
        <f t="shared" si="458"/>
        <v>2525</v>
      </c>
      <c r="CV53" s="211">
        <f t="shared" si="458"/>
        <v>1055</v>
      </c>
      <c r="CW53" s="211">
        <f t="shared" si="458"/>
        <v>101</v>
      </c>
      <c r="CX53" s="211">
        <f t="shared" si="458"/>
        <v>5275</v>
      </c>
      <c r="CY53" s="211">
        <f t="shared" si="458"/>
        <v>505</v>
      </c>
      <c r="CZ53" s="421">
        <v>50</v>
      </c>
      <c r="DA53" s="24">
        <v>380000</v>
      </c>
      <c r="DB53" s="211">
        <f t="shared" si="13"/>
        <v>4013600</v>
      </c>
      <c r="DC53" s="211">
        <v>450</v>
      </c>
      <c r="DD53" s="211">
        <f t="shared" si="14"/>
        <v>800</v>
      </c>
      <c r="DE53" s="211"/>
      <c r="DF53" s="211"/>
      <c r="DG53" s="211"/>
      <c r="DH53" s="305">
        <v>50</v>
      </c>
      <c r="DI53" s="209">
        <v>112500</v>
      </c>
      <c r="DJ53" s="210">
        <v>225000</v>
      </c>
      <c r="DK53" s="306">
        <v>450000</v>
      </c>
      <c r="DL53" s="305">
        <v>50</v>
      </c>
      <c r="DM53" s="209">
        <v>225000</v>
      </c>
      <c r="DN53" s="210">
        <v>337500</v>
      </c>
      <c r="DO53" s="306">
        <v>675000</v>
      </c>
      <c r="DP53" s="307">
        <v>50</v>
      </c>
      <c r="DQ53" s="210">
        <v>450000</v>
      </c>
      <c r="DR53" s="306">
        <v>900000</v>
      </c>
      <c r="DS53" s="305">
        <v>50</v>
      </c>
      <c r="DT53" s="211">
        <f t="shared" ref="DT53:DV53" si="459">DI53+DT52</f>
        <v>2393500</v>
      </c>
      <c r="DU53" s="211">
        <f t="shared" si="459"/>
        <v>4787000</v>
      </c>
      <c r="DV53" s="211">
        <f t="shared" si="459"/>
        <v>9574000</v>
      </c>
      <c r="DW53" s="211">
        <f t="shared" ref="DW53:DY53" si="460">DM53+DW52</f>
        <v>4787000</v>
      </c>
      <c r="DX53" s="211">
        <f t="shared" si="460"/>
        <v>7180500</v>
      </c>
      <c r="DY53" s="211">
        <f t="shared" si="460"/>
        <v>14361000</v>
      </c>
      <c r="DZ53" s="211">
        <v>0</v>
      </c>
      <c r="EA53" s="211">
        <f t="shared" ref="EA53:EB53" si="461">DQ53+EA52</f>
        <v>9574000</v>
      </c>
      <c r="EB53" s="211">
        <f t="shared" si="461"/>
        <v>19148000</v>
      </c>
      <c r="EC53" s="428">
        <v>50</v>
      </c>
      <c r="ED53" s="211">
        <v>2</v>
      </c>
      <c r="EE53" s="211">
        <f t="shared" si="18"/>
        <v>7</v>
      </c>
      <c r="EF53" s="211"/>
      <c r="EG53" s="211"/>
      <c r="EH53" s="211"/>
      <c r="EI53" s="211"/>
      <c r="EJ53" s="211"/>
      <c r="EK53" s="211"/>
      <c r="EL53" s="211"/>
      <c r="EM53" s="211"/>
      <c r="EN53" s="211"/>
    </row>
    <row r="54" spans="1:144" ht="15.75" customHeight="1" x14ac:dyDescent="0.2">
      <c r="A54" s="421">
        <v>51</v>
      </c>
      <c r="B54" s="211">
        <v>410</v>
      </c>
      <c r="C54" s="211">
        <f t="shared" si="4"/>
        <v>9110</v>
      </c>
      <c r="F54" s="211"/>
      <c r="G54" s="211"/>
      <c r="M54" s="8"/>
      <c r="N54" s="8"/>
      <c r="O54" s="8"/>
      <c r="P54" s="8"/>
      <c r="Q54" s="8"/>
      <c r="R54" s="439"/>
      <c r="S54" s="426">
        <v>51</v>
      </c>
      <c r="T54" s="230">
        <v>53</v>
      </c>
      <c r="U54" s="211">
        <v>7</v>
      </c>
      <c r="V54" s="211">
        <v>212</v>
      </c>
      <c r="W54" s="69">
        <v>28</v>
      </c>
      <c r="X54" s="432">
        <v>1060</v>
      </c>
      <c r="Y54" s="432">
        <v>140</v>
      </c>
      <c r="Z54" s="211">
        <v>42</v>
      </c>
      <c r="AA54" s="211">
        <v>5</v>
      </c>
      <c r="AB54" s="432">
        <v>210</v>
      </c>
      <c r="AC54" s="432">
        <v>25</v>
      </c>
      <c r="AD54" s="230">
        <v>70</v>
      </c>
      <c r="AE54" s="211">
        <v>9</v>
      </c>
      <c r="AF54" s="211">
        <v>280</v>
      </c>
      <c r="AG54" s="211">
        <v>36</v>
      </c>
      <c r="AH54" s="432">
        <v>1400</v>
      </c>
      <c r="AI54" s="432">
        <v>180</v>
      </c>
      <c r="AJ54" s="69">
        <v>65</v>
      </c>
      <c r="AK54" s="69">
        <v>6</v>
      </c>
      <c r="AL54" s="435">
        <f t="shared" ref="AL54:AM54" si="462">AJ54*5</f>
        <v>325</v>
      </c>
      <c r="AM54" s="435">
        <f t="shared" si="462"/>
        <v>30</v>
      </c>
      <c r="AN54" s="432">
        <v>70</v>
      </c>
      <c r="AO54" s="432">
        <v>9</v>
      </c>
      <c r="AP54" s="211">
        <v>350</v>
      </c>
      <c r="AQ54" s="211">
        <v>45</v>
      </c>
      <c r="AR54" s="432">
        <v>1750</v>
      </c>
      <c r="AS54" s="432">
        <v>225</v>
      </c>
      <c r="AT54" s="69">
        <v>70</v>
      </c>
      <c r="AU54" s="69">
        <v>9</v>
      </c>
      <c r="AV54" s="432">
        <v>350</v>
      </c>
      <c r="AW54" s="433">
        <v>45</v>
      </c>
      <c r="AX54" s="230">
        <v>70</v>
      </c>
      <c r="AY54" s="211">
        <v>9</v>
      </c>
      <c r="AZ54" s="432">
        <v>350</v>
      </c>
      <c r="BA54" s="432">
        <v>45</v>
      </c>
      <c r="BB54" s="432">
        <v>1750</v>
      </c>
      <c r="BC54" s="432">
        <v>225</v>
      </c>
      <c r="BD54" s="432">
        <v>70</v>
      </c>
      <c r="BE54" s="432">
        <v>9</v>
      </c>
      <c r="BF54" s="432">
        <f t="shared" ref="BF54:BG54" si="463">BD54*5</f>
        <v>350</v>
      </c>
      <c r="BG54" s="433">
        <f t="shared" si="463"/>
        <v>45</v>
      </c>
      <c r="BH54" s="427">
        <v>51</v>
      </c>
      <c r="BI54" s="211">
        <f t="shared" ref="BI54:BR54" si="464">BI53+T54</f>
        <v>853</v>
      </c>
      <c r="BJ54" s="211">
        <f t="shared" si="464"/>
        <v>86</v>
      </c>
      <c r="BK54" s="211">
        <f t="shared" si="464"/>
        <v>3412</v>
      </c>
      <c r="BL54" s="211">
        <f t="shared" si="464"/>
        <v>344</v>
      </c>
      <c r="BM54" s="211">
        <f t="shared" si="464"/>
        <v>17060</v>
      </c>
      <c r="BN54" s="211">
        <f t="shared" si="464"/>
        <v>1720</v>
      </c>
      <c r="BO54" s="211">
        <f t="shared" si="464"/>
        <v>682</v>
      </c>
      <c r="BP54" s="211">
        <f t="shared" si="464"/>
        <v>69</v>
      </c>
      <c r="BQ54" s="211">
        <f t="shared" si="464"/>
        <v>3410</v>
      </c>
      <c r="BR54" s="211">
        <f t="shared" si="464"/>
        <v>345</v>
      </c>
      <c r="BS54" s="427">
        <v>51</v>
      </c>
      <c r="BT54" s="211">
        <f t="shared" ref="BT54:CC54" si="465">BT53+AD54</f>
        <v>1125</v>
      </c>
      <c r="BU54" s="211">
        <f t="shared" si="465"/>
        <v>110</v>
      </c>
      <c r="BV54" s="211">
        <f t="shared" si="465"/>
        <v>4569</v>
      </c>
      <c r="BW54" s="211">
        <f t="shared" si="465"/>
        <v>442</v>
      </c>
      <c r="BX54" s="211">
        <f t="shared" si="465"/>
        <v>22845</v>
      </c>
      <c r="BY54" s="211">
        <f t="shared" si="465"/>
        <v>2210</v>
      </c>
      <c r="BZ54" s="211">
        <f t="shared" si="465"/>
        <v>1103</v>
      </c>
      <c r="CA54" s="211">
        <f t="shared" si="465"/>
        <v>88</v>
      </c>
      <c r="CB54" s="211">
        <f t="shared" si="465"/>
        <v>5515</v>
      </c>
      <c r="CC54" s="211">
        <f t="shared" si="465"/>
        <v>440</v>
      </c>
      <c r="CD54" s="427">
        <v>51</v>
      </c>
      <c r="CE54" s="211">
        <f t="shared" ref="CE54:CN54" si="466">CE53+AN54</f>
        <v>1125</v>
      </c>
      <c r="CF54" s="211">
        <f t="shared" si="466"/>
        <v>110</v>
      </c>
      <c r="CG54" s="211">
        <f t="shared" si="466"/>
        <v>5625</v>
      </c>
      <c r="CH54" s="211">
        <f t="shared" si="466"/>
        <v>550</v>
      </c>
      <c r="CI54" s="211">
        <f t="shared" si="466"/>
        <v>28125</v>
      </c>
      <c r="CJ54" s="211">
        <f t="shared" si="466"/>
        <v>2750</v>
      </c>
      <c r="CK54" s="211">
        <f t="shared" si="466"/>
        <v>1125</v>
      </c>
      <c r="CL54" s="211">
        <f t="shared" si="466"/>
        <v>110</v>
      </c>
      <c r="CM54" s="211">
        <f t="shared" si="466"/>
        <v>5625</v>
      </c>
      <c r="CN54" s="211">
        <f t="shared" si="466"/>
        <v>550</v>
      </c>
      <c r="CO54" s="427">
        <v>51</v>
      </c>
      <c r="CP54" s="211">
        <f t="shared" ref="CP54:CY54" si="467">CP53+AX54</f>
        <v>1125</v>
      </c>
      <c r="CQ54" s="211">
        <f t="shared" si="467"/>
        <v>110</v>
      </c>
      <c r="CR54" s="211">
        <f t="shared" si="467"/>
        <v>5625</v>
      </c>
      <c r="CS54" s="211">
        <f t="shared" si="467"/>
        <v>550</v>
      </c>
      <c r="CT54" s="211">
        <f t="shared" si="467"/>
        <v>28125</v>
      </c>
      <c r="CU54" s="211">
        <f t="shared" si="467"/>
        <v>2750</v>
      </c>
      <c r="CV54" s="211">
        <f t="shared" si="467"/>
        <v>1125</v>
      </c>
      <c r="CW54" s="211">
        <f t="shared" si="467"/>
        <v>110</v>
      </c>
      <c r="CX54" s="211">
        <f t="shared" si="467"/>
        <v>5625</v>
      </c>
      <c r="CY54" s="211">
        <f t="shared" si="467"/>
        <v>550</v>
      </c>
      <c r="CZ54" s="421">
        <v>51</v>
      </c>
      <c r="DA54" s="24">
        <v>400000</v>
      </c>
      <c r="DB54" s="211">
        <f t="shared" si="13"/>
        <v>4413600</v>
      </c>
      <c r="DC54" s="211"/>
      <c r="DD54" s="211">
        <f t="shared" si="14"/>
        <v>800</v>
      </c>
      <c r="DE54" s="211"/>
      <c r="DF54" s="211"/>
      <c r="DG54" s="211"/>
      <c r="DH54" s="305">
        <v>51</v>
      </c>
      <c r="DI54" s="209">
        <v>115000</v>
      </c>
      <c r="DJ54" s="210">
        <v>230000</v>
      </c>
      <c r="DK54" s="306">
        <v>460000</v>
      </c>
      <c r="DL54" s="305">
        <v>51</v>
      </c>
      <c r="DM54" s="209">
        <v>230000</v>
      </c>
      <c r="DN54" s="210">
        <v>345000</v>
      </c>
      <c r="DO54" s="306">
        <v>690000</v>
      </c>
      <c r="DP54" s="307">
        <v>51</v>
      </c>
      <c r="DQ54" s="210">
        <v>460000</v>
      </c>
      <c r="DR54" s="306">
        <v>920000</v>
      </c>
      <c r="DS54" s="305">
        <v>51</v>
      </c>
      <c r="DT54" s="211">
        <f t="shared" ref="DT54:DV54" si="468">DI54+DT53</f>
        <v>2508500</v>
      </c>
      <c r="DU54" s="211">
        <f t="shared" si="468"/>
        <v>5017000</v>
      </c>
      <c r="DV54" s="211">
        <f t="shared" si="468"/>
        <v>10034000</v>
      </c>
      <c r="DW54" s="211">
        <f t="shared" ref="DW54:DY54" si="469">DM54+DW53</f>
        <v>5017000</v>
      </c>
      <c r="DX54" s="211">
        <f t="shared" si="469"/>
        <v>7525500</v>
      </c>
      <c r="DY54" s="211">
        <f t="shared" si="469"/>
        <v>15051000</v>
      </c>
      <c r="DZ54" s="211">
        <v>0</v>
      </c>
      <c r="EA54" s="211">
        <f t="shared" ref="EA54:EB54" si="470">DQ54+EA53</f>
        <v>10034000</v>
      </c>
      <c r="EB54" s="211">
        <f t="shared" si="470"/>
        <v>20068000</v>
      </c>
      <c r="EC54" s="428">
        <v>51</v>
      </c>
      <c r="ED54" s="211"/>
      <c r="EE54" s="211">
        <f t="shared" si="18"/>
        <v>7</v>
      </c>
      <c r="EF54" s="211"/>
      <c r="EG54" s="211"/>
      <c r="EH54" s="211"/>
      <c r="EI54" s="211"/>
      <c r="EJ54" s="211"/>
      <c r="EK54" s="211"/>
      <c r="EL54" s="211"/>
      <c r="EM54" s="211"/>
      <c r="EN54" s="211"/>
    </row>
    <row r="55" spans="1:144" ht="15.75" customHeight="1" x14ac:dyDescent="0.2">
      <c r="A55" s="421">
        <v>52</v>
      </c>
      <c r="B55" s="211">
        <v>420</v>
      </c>
      <c r="C55" s="211">
        <f t="shared" si="4"/>
        <v>9530</v>
      </c>
      <c r="F55" s="211"/>
      <c r="G55" s="211"/>
      <c r="M55" s="8"/>
      <c r="N55" s="8"/>
      <c r="O55" s="8"/>
      <c r="P55" s="8"/>
      <c r="Q55" s="8"/>
      <c r="R55" s="439"/>
      <c r="S55" s="426">
        <v>52</v>
      </c>
      <c r="T55" s="431">
        <v>61</v>
      </c>
      <c r="U55" s="432">
        <v>7</v>
      </c>
      <c r="V55" s="211">
        <v>244</v>
      </c>
      <c r="W55" s="211">
        <v>28</v>
      </c>
      <c r="X55" s="432">
        <v>1220</v>
      </c>
      <c r="Y55" s="432">
        <v>140</v>
      </c>
      <c r="Z55" s="211">
        <v>50</v>
      </c>
      <c r="AA55" s="211">
        <v>6</v>
      </c>
      <c r="AB55" s="432">
        <v>250</v>
      </c>
      <c r="AC55" s="432">
        <v>30</v>
      </c>
      <c r="AD55" s="230">
        <v>80</v>
      </c>
      <c r="AE55" s="211">
        <v>9</v>
      </c>
      <c r="AF55" s="69">
        <v>320</v>
      </c>
      <c r="AG55" s="69">
        <v>36</v>
      </c>
      <c r="AH55" s="437">
        <v>1600</v>
      </c>
      <c r="AI55" s="437">
        <v>180</v>
      </c>
      <c r="AJ55" s="69">
        <v>65</v>
      </c>
      <c r="AK55" s="69">
        <v>6</v>
      </c>
      <c r="AL55" s="435">
        <f t="shared" ref="AL55:AM55" si="471">AJ55*5</f>
        <v>325</v>
      </c>
      <c r="AM55" s="435">
        <f t="shared" si="471"/>
        <v>30</v>
      </c>
      <c r="AN55" s="432">
        <v>80</v>
      </c>
      <c r="AO55" s="432">
        <v>9</v>
      </c>
      <c r="AP55" s="432">
        <v>400</v>
      </c>
      <c r="AQ55" s="432">
        <v>45</v>
      </c>
      <c r="AR55" s="211">
        <v>2000</v>
      </c>
      <c r="AS55" s="211">
        <v>225</v>
      </c>
      <c r="AT55" s="432">
        <v>80</v>
      </c>
      <c r="AU55" s="432">
        <v>9</v>
      </c>
      <c r="AV55" s="432">
        <v>400</v>
      </c>
      <c r="AW55" s="433">
        <v>45</v>
      </c>
      <c r="AX55" s="230">
        <v>80</v>
      </c>
      <c r="AY55" s="211">
        <v>9</v>
      </c>
      <c r="AZ55" s="432">
        <v>400</v>
      </c>
      <c r="BA55" s="432">
        <v>45</v>
      </c>
      <c r="BB55" s="432">
        <v>2000</v>
      </c>
      <c r="BC55" s="432">
        <v>225</v>
      </c>
      <c r="BD55" s="432">
        <v>80</v>
      </c>
      <c r="BE55" s="432">
        <v>9</v>
      </c>
      <c r="BF55" s="432">
        <f t="shared" ref="BF55:BG55" si="472">BD55*5</f>
        <v>400</v>
      </c>
      <c r="BG55" s="433">
        <f t="shared" si="472"/>
        <v>45</v>
      </c>
      <c r="BH55" s="427">
        <v>52</v>
      </c>
      <c r="BI55" s="211">
        <f t="shared" ref="BI55:BR55" si="473">BI54+T55</f>
        <v>914</v>
      </c>
      <c r="BJ55" s="211">
        <f t="shared" si="473"/>
        <v>93</v>
      </c>
      <c r="BK55" s="211">
        <f t="shared" si="473"/>
        <v>3656</v>
      </c>
      <c r="BL55" s="211">
        <f t="shared" si="473"/>
        <v>372</v>
      </c>
      <c r="BM55" s="211">
        <f t="shared" si="473"/>
        <v>18280</v>
      </c>
      <c r="BN55" s="211">
        <f t="shared" si="473"/>
        <v>1860</v>
      </c>
      <c r="BO55" s="211">
        <f t="shared" si="473"/>
        <v>732</v>
      </c>
      <c r="BP55" s="211">
        <f t="shared" si="473"/>
        <v>75</v>
      </c>
      <c r="BQ55" s="211">
        <f t="shared" si="473"/>
        <v>3660</v>
      </c>
      <c r="BR55" s="211">
        <f t="shared" si="473"/>
        <v>375</v>
      </c>
      <c r="BS55" s="427">
        <v>52</v>
      </c>
      <c r="BT55" s="211">
        <f t="shared" ref="BT55:CC55" si="474">BT54+AD55</f>
        <v>1205</v>
      </c>
      <c r="BU55" s="211">
        <f t="shared" si="474"/>
        <v>119</v>
      </c>
      <c r="BV55" s="211">
        <f t="shared" si="474"/>
        <v>4889</v>
      </c>
      <c r="BW55" s="211">
        <f t="shared" si="474"/>
        <v>478</v>
      </c>
      <c r="BX55" s="211">
        <f t="shared" si="474"/>
        <v>24445</v>
      </c>
      <c r="BY55" s="211">
        <f t="shared" si="474"/>
        <v>2390</v>
      </c>
      <c r="BZ55" s="211">
        <f t="shared" si="474"/>
        <v>1168</v>
      </c>
      <c r="CA55" s="211">
        <f t="shared" si="474"/>
        <v>94</v>
      </c>
      <c r="CB55" s="211">
        <f t="shared" si="474"/>
        <v>5840</v>
      </c>
      <c r="CC55" s="211">
        <f t="shared" si="474"/>
        <v>470</v>
      </c>
      <c r="CD55" s="427">
        <v>52</v>
      </c>
      <c r="CE55" s="211">
        <f t="shared" ref="CE55:CN55" si="475">CE54+AN55</f>
        <v>1205</v>
      </c>
      <c r="CF55" s="211">
        <f t="shared" si="475"/>
        <v>119</v>
      </c>
      <c r="CG55" s="211">
        <f t="shared" si="475"/>
        <v>6025</v>
      </c>
      <c r="CH55" s="211">
        <f t="shared" si="475"/>
        <v>595</v>
      </c>
      <c r="CI55" s="211">
        <f t="shared" si="475"/>
        <v>30125</v>
      </c>
      <c r="CJ55" s="211">
        <f t="shared" si="475"/>
        <v>2975</v>
      </c>
      <c r="CK55" s="211">
        <f t="shared" si="475"/>
        <v>1205</v>
      </c>
      <c r="CL55" s="211">
        <f t="shared" si="475"/>
        <v>119</v>
      </c>
      <c r="CM55" s="211">
        <f t="shared" si="475"/>
        <v>6025</v>
      </c>
      <c r="CN55" s="211">
        <f t="shared" si="475"/>
        <v>595</v>
      </c>
      <c r="CO55" s="427">
        <v>52</v>
      </c>
      <c r="CP55" s="211">
        <f t="shared" ref="CP55:CY55" si="476">CP54+AX55</f>
        <v>1205</v>
      </c>
      <c r="CQ55" s="211">
        <f t="shared" si="476"/>
        <v>119</v>
      </c>
      <c r="CR55" s="211">
        <f t="shared" si="476"/>
        <v>6025</v>
      </c>
      <c r="CS55" s="211">
        <f t="shared" si="476"/>
        <v>595</v>
      </c>
      <c r="CT55" s="211">
        <f t="shared" si="476"/>
        <v>30125</v>
      </c>
      <c r="CU55" s="211">
        <f t="shared" si="476"/>
        <v>2975</v>
      </c>
      <c r="CV55" s="211">
        <f t="shared" si="476"/>
        <v>1205</v>
      </c>
      <c r="CW55" s="211">
        <f t="shared" si="476"/>
        <v>119</v>
      </c>
      <c r="CX55" s="211">
        <f t="shared" si="476"/>
        <v>6025</v>
      </c>
      <c r="CY55" s="211">
        <f t="shared" si="476"/>
        <v>595</v>
      </c>
      <c r="CZ55" s="421">
        <v>52</v>
      </c>
      <c r="DA55" s="24">
        <v>450000</v>
      </c>
      <c r="DB55" s="211">
        <f t="shared" si="13"/>
        <v>4863600</v>
      </c>
      <c r="DC55" s="211"/>
      <c r="DD55" s="211">
        <f t="shared" si="14"/>
        <v>800</v>
      </c>
      <c r="DE55" s="211"/>
      <c r="DF55" s="211"/>
      <c r="DG55" s="211"/>
      <c r="DH55" s="305">
        <v>52</v>
      </c>
      <c r="DI55" s="209">
        <v>117500</v>
      </c>
      <c r="DJ55" s="210">
        <v>235000</v>
      </c>
      <c r="DK55" s="306">
        <v>470000</v>
      </c>
      <c r="DL55" s="305">
        <v>52</v>
      </c>
      <c r="DM55" s="209">
        <v>235000</v>
      </c>
      <c r="DN55" s="210">
        <v>352500</v>
      </c>
      <c r="DO55" s="306">
        <v>705000</v>
      </c>
      <c r="DP55" s="307">
        <v>52</v>
      </c>
      <c r="DQ55" s="210">
        <v>470000</v>
      </c>
      <c r="DR55" s="306">
        <v>940000</v>
      </c>
      <c r="DS55" s="305">
        <v>52</v>
      </c>
      <c r="DT55" s="211">
        <f t="shared" ref="DT55:DV55" si="477">DI55+DT54</f>
        <v>2626000</v>
      </c>
      <c r="DU55" s="211">
        <f t="shared" si="477"/>
        <v>5252000</v>
      </c>
      <c r="DV55" s="211">
        <f t="shared" si="477"/>
        <v>10504000</v>
      </c>
      <c r="DW55" s="211">
        <f t="shared" ref="DW55:DY55" si="478">DM55+DW54</f>
        <v>5252000</v>
      </c>
      <c r="DX55" s="211">
        <f t="shared" si="478"/>
        <v>7878000</v>
      </c>
      <c r="DY55" s="211">
        <f t="shared" si="478"/>
        <v>15756000</v>
      </c>
      <c r="DZ55" s="211">
        <v>0</v>
      </c>
      <c r="EA55" s="211">
        <f t="shared" ref="EA55:EB55" si="479">DQ55+EA54</f>
        <v>10504000</v>
      </c>
      <c r="EB55" s="211">
        <f t="shared" si="479"/>
        <v>21008000</v>
      </c>
      <c r="EC55" s="428">
        <v>52</v>
      </c>
      <c r="ED55" s="211"/>
      <c r="EE55" s="211">
        <f t="shared" si="18"/>
        <v>7</v>
      </c>
      <c r="EF55" s="211"/>
      <c r="EG55" s="211"/>
      <c r="EH55" s="211"/>
      <c r="EI55" s="211"/>
      <c r="EJ55" s="211"/>
      <c r="EK55" s="211"/>
      <c r="EL55" s="211"/>
      <c r="EM55" s="211"/>
      <c r="EN55" s="211"/>
    </row>
    <row r="56" spans="1:144" ht="15.75" customHeight="1" x14ac:dyDescent="0.2">
      <c r="A56" s="421">
        <v>53</v>
      </c>
      <c r="B56" s="211">
        <v>430</v>
      </c>
      <c r="C56" s="211">
        <f t="shared" si="4"/>
        <v>9960</v>
      </c>
      <c r="F56" s="211"/>
      <c r="G56" s="211"/>
      <c r="M56" s="8"/>
      <c r="N56" s="8"/>
      <c r="O56" s="8"/>
      <c r="P56" s="8"/>
      <c r="Q56" s="8"/>
      <c r="R56" s="439"/>
      <c r="S56" s="426">
        <v>53</v>
      </c>
      <c r="T56" s="431">
        <v>68</v>
      </c>
      <c r="U56" s="432">
        <v>7</v>
      </c>
      <c r="V56" s="211">
        <v>272</v>
      </c>
      <c r="W56" s="69">
        <v>28</v>
      </c>
      <c r="X56" s="432">
        <v>1360</v>
      </c>
      <c r="Y56" s="432">
        <v>140</v>
      </c>
      <c r="Z56" s="211">
        <v>54</v>
      </c>
      <c r="AA56" s="211">
        <v>6</v>
      </c>
      <c r="AB56" s="432">
        <v>270</v>
      </c>
      <c r="AC56" s="432">
        <v>30</v>
      </c>
      <c r="AD56" s="230">
        <v>90</v>
      </c>
      <c r="AE56" s="211">
        <v>10</v>
      </c>
      <c r="AF56" s="211">
        <v>360</v>
      </c>
      <c r="AG56" s="211">
        <v>40</v>
      </c>
      <c r="AH56" s="432">
        <v>1800</v>
      </c>
      <c r="AI56" s="432">
        <v>200</v>
      </c>
      <c r="AJ56" s="69">
        <v>70</v>
      </c>
      <c r="AK56" s="69">
        <v>7</v>
      </c>
      <c r="AL56" s="435">
        <f t="shared" ref="AL56:AM56" si="480">AJ56*5</f>
        <v>350</v>
      </c>
      <c r="AM56" s="435">
        <f t="shared" si="480"/>
        <v>35</v>
      </c>
      <c r="AN56" s="432">
        <v>90</v>
      </c>
      <c r="AO56" s="432">
        <v>10</v>
      </c>
      <c r="AP56" s="432">
        <v>450</v>
      </c>
      <c r="AQ56" s="432">
        <v>50</v>
      </c>
      <c r="AR56" s="211">
        <v>2250</v>
      </c>
      <c r="AS56" s="211">
        <v>250</v>
      </c>
      <c r="AT56" s="432">
        <v>90</v>
      </c>
      <c r="AU56" s="432">
        <v>10</v>
      </c>
      <c r="AV56" s="432">
        <v>450</v>
      </c>
      <c r="AW56" s="433">
        <v>50</v>
      </c>
      <c r="AX56" s="230">
        <v>90</v>
      </c>
      <c r="AY56" s="211">
        <v>10</v>
      </c>
      <c r="AZ56" s="211">
        <v>450</v>
      </c>
      <c r="BA56" s="211">
        <v>50</v>
      </c>
      <c r="BB56" s="432">
        <v>2250</v>
      </c>
      <c r="BC56" s="432">
        <v>250</v>
      </c>
      <c r="BD56" s="432">
        <v>90</v>
      </c>
      <c r="BE56" s="432">
        <v>10</v>
      </c>
      <c r="BF56" s="432">
        <f t="shared" ref="BF56:BG56" si="481">BD56*5</f>
        <v>450</v>
      </c>
      <c r="BG56" s="433">
        <f t="shared" si="481"/>
        <v>50</v>
      </c>
      <c r="BH56" s="427">
        <v>53</v>
      </c>
      <c r="BI56" s="211">
        <f t="shared" ref="BI56:BR56" si="482">BI55+T56</f>
        <v>982</v>
      </c>
      <c r="BJ56" s="211">
        <f t="shared" si="482"/>
        <v>100</v>
      </c>
      <c r="BK56" s="211">
        <f t="shared" si="482"/>
        <v>3928</v>
      </c>
      <c r="BL56" s="211">
        <f t="shared" si="482"/>
        <v>400</v>
      </c>
      <c r="BM56" s="211">
        <f t="shared" si="482"/>
        <v>19640</v>
      </c>
      <c r="BN56" s="211">
        <f t="shared" si="482"/>
        <v>2000</v>
      </c>
      <c r="BO56" s="211">
        <f t="shared" si="482"/>
        <v>786</v>
      </c>
      <c r="BP56" s="211">
        <f t="shared" si="482"/>
        <v>81</v>
      </c>
      <c r="BQ56" s="211">
        <f t="shared" si="482"/>
        <v>3930</v>
      </c>
      <c r="BR56" s="211">
        <f t="shared" si="482"/>
        <v>405</v>
      </c>
      <c r="BS56" s="427">
        <v>53</v>
      </c>
      <c r="BT56" s="211">
        <f t="shared" ref="BT56:CC56" si="483">BT55+AD56</f>
        <v>1295</v>
      </c>
      <c r="BU56" s="211">
        <f t="shared" si="483"/>
        <v>129</v>
      </c>
      <c r="BV56" s="211">
        <f t="shared" si="483"/>
        <v>5249</v>
      </c>
      <c r="BW56" s="211">
        <f t="shared" si="483"/>
        <v>518</v>
      </c>
      <c r="BX56" s="211">
        <f t="shared" si="483"/>
        <v>26245</v>
      </c>
      <c r="BY56" s="211">
        <f t="shared" si="483"/>
        <v>2590</v>
      </c>
      <c r="BZ56" s="211">
        <f t="shared" si="483"/>
        <v>1238</v>
      </c>
      <c r="CA56" s="211">
        <f t="shared" si="483"/>
        <v>101</v>
      </c>
      <c r="CB56" s="211">
        <f t="shared" si="483"/>
        <v>6190</v>
      </c>
      <c r="CC56" s="211">
        <f t="shared" si="483"/>
        <v>505</v>
      </c>
      <c r="CD56" s="427">
        <v>53</v>
      </c>
      <c r="CE56" s="211">
        <f t="shared" ref="CE56:CN56" si="484">CE55+AN56</f>
        <v>1295</v>
      </c>
      <c r="CF56" s="211">
        <f t="shared" si="484"/>
        <v>129</v>
      </c>
      <c r="CG56" s="211">
        <f t="shared" si="484"/>
        <v>6475</v>
      </c>
      <c r="CH56" s="211">
        <f t="shared" si="484"/>
        <v>645</v>
      </c>
      <c r="CI56" s="211">
        <f t="shared" si="484"/>
        <v>32375</v>
      </c>
      <c r="CJ56" s="211">
        <f t="shared" si="484"/>
        <v>3225</v>
      </c>
      <c r="CK56" s="211">
        <f t="shared" si="484"/>
        <v>1295</v>
      </c>
      <c r="CL56" s="211">
        <f t="shared" si="484"/>
        <v>129</v>
      </c>
      <c r="CM56" s="211">
        <f t="shared" si="484"/>
        <v>6475</v>
      </c>
      <c r="CN56" s="211">
        <f t="shared" si="484"/>
        <v>645</v>
      </c>
      <c r="CO56" s="427">
        <v>53</v>
      </c>
      <c r="CP56" s="211">
        <f t="shared" ref="CP56:CY56" si="485">CP55+AX56</f>
        <v>1295</v>
      </c>
      <c r="CQ56" s="211">
        <f t="shared" si="485"/>
        <v>129</v>
      </c>
      <c r="CR56" s="211">
        <f t="shared" si="485"/>
        <v>6475</v>
      </c>
      <c r="CS56" s="211">
        <f t="shared" si="485"/>
        <v>645</v>
      </c>
      <c r="CT56" s="211">
        <f t="shared" si="485"/>
        <v>32375</v>
      </c>
      <c r="CU56" s="211">
        <f t="shared" si="485"/>
        <v>3225</v>
      </c>
      <c r="CV56" s="211">
        <f t="shared" si="485"/>
        <v>1295</v>
      </c>
      <c r="CW56" s="211">
        <f t="shared" si="485"/>
        <v>129</v>
      </c>
      <c r="CX56" s="211">
        <f t="shared" si="485"/>
        <v>6475</v>
      </c>
      <c r="CY56" s="211">
        <f t="shared" si="485"/>
        <v>645</v>
      </c>
      <c r="CZ56" s="421">
        <v>53</v>
      </c>
      <c r="DA56" s="24">
        <v>500000</v>
      </c>
      <c r="DB56" s="211">
        <f t="shared" si="13"/>
        <v>5363600</v>
      </c>
      <c r="DC56" s="211"/>
      <c r="DD56" s="211">
        <f t="shared" si="14"/>
        <v>800</v>
      </c>
      <c r="DE56" s="211"/>
      <c r="DF56" s="211"/>
      <c r="DG56" s="211"/>
      <c r="DH56" s="305">
        <v>53</v>
      </c>
      <c r="DI56" s="209">
        <v>120000</v>
      </c>
      <c r="DJ56" s="210">
        <v>240000</v>
      </c>
      <c r="DK56" s="306">
        <v>480000</v>
      </c>
      <c r="DL56" s="305">
        <v>53</v>
      </c>
      <c r="DM56" s="209">
        <v>240000</v>
      </c>
      <c r="DN56" s="210">
        <v>360000</v>
      </c>
      <c r="DO56" s="306">
        <v>720000</v>
      </c>
      <c r="DP56" s="307">
        <v>53</v>
      </c>
      <c r="DQ56" s="210">
        <v>480000</v>
      </c>
      <c r="DR56" s="306">
        <v>960000</v>
      </c>
      <c r="DS56" s="305">
        <v>53</v>
      </c>
      <c r="DT56" s="211">
        <f t="shared" ref="DT56:DV56" si="486">DI56+DT55</f>
        <v>2746000</v>
      </c>
      <c r="DU56" s="211">
        <f t="shared" si="486"/>
        <v>5492000</v>
      </c>
      <c r="DV56" s="211">
        <f t="shared" si="486"/>
        <v>10984000</v>
      </c>
      <c r="DW56" s="211">
        <f t="shared" ref="DW56:DY56" si="487">DM56+DW55</f>
        <v>5492000</v>
      </c>
      <c r="DX56" s="211">
        <f t="shared" si="487"/>
        <v>8238000</v>
      </c>
      <c r="DY56" s="211">
        <f t="shared" si="487"/>
        <v>16476000</v>
      </c>
      <c r="DZ56" s="211">
        <v>0</v>
      </c>
      <c r="EA56" s="211">
        <f t="shared" ref="EA56:EB56" si="488">DQ56+EA55</f>
        <v>10984000</v>
      </c>
      <c r="EB56" s="211">
        <f t="shared" si="488"/>
        <v>21968000</v>
      </c>
      <c r="EC56" s="428">
        <v>53</v>
      </c>
      <c r="ED56" s="211"/>
      <c r="EE56" s="211">
        <f t="shared" si="18"/>
        <v>7</v>
      </c>
      <c r="EF56" s="211"/>
      <c r="EG56" s="211"/>
      <c r="EH56" s="211"/>
      <c r="EI56" s="211"/>
      <c r="EJ56" s="211"/>
      <c r="EK56" s="211"/>
      <c r="EL56" s="211"/>
      <c r="EM56" s="211"/>
      <c r="EN56" s="211"/>
    </row>
    <row r="57" spans="1:144" ht="15.75" customHeight="1" x14ac:dyDescent="0.2">
      <c r="A57" s="421">
        <v>54</v>
      </c>
      <c r="B57" s="211">
        <v>440</v>
      </c>
      <c r="C57" s="211">
        <f t="shared" si="4"/>
        <v>10400</v>
      </c>
      <c r="M57" s="8"/>
      <c r="N57" s="8"/>
      <c r="O57" s="8"/>
      <c r="P57" s="8"/>
      <c r="Q57" s="8"/>
      <c r="R57" s="439"/>
      <c r="S57" s="426">
        <v>54</v>
      </c>
      <c r="T57" s="431">
        <v>68</v>
      </c>
      <c r="U57" s="432">
        <v>7</v>
      </c>
      <c r="V57" s="211">
        <v>272</v>
      </c>
      <c r="W57" s="69">
        <v>28</v>
      </c>
      <c r="X57" s="432">
        <v>1360</v>
      </c>
      <c r="Y57" s="432">
        <v>140</v>
      </c>
      <c r="Z57" s="211">
        <v>54</v>
      </c>
      <c r="AA57" s="211">
        <v>6</v>
      </c>
      <c r="AB57" s="432">
        <v>270</v>
      </c>
      <c r="AC57" s="432">
        <v>30</v>
      </c>
      <c r="AD57" s="230">
        <v>90</v>
      </c>
      <c r="AE57" s="211">
        <v>10</v>
      </c>
      <c r="AF57" s="211">
        <v>360</v>
      </c>
      <c r="AG57" s="211">
        <v>40</v>
      </c>
      <c r="AH57" s="432">
        <v>1800</v>
      </c>
      <c r="AI57" s="432">
        <v>200</v>
      </c>
      <c r="AJ57" s="69">
        <v>70</v>
      </c>
      <c r="AK57" s="69">
        <v>7</v>
      </c>
      <c r="AL57" s="435">
        <f t="shared" ref="AL57:AM57" si="489">AJ57*5</f>
        <v>350</v>
      </c>
      <c r="AM57" s="435">
        <f t="shared" si="489"/>
        <v>35</v>
      </c>
      <c r="AN57" s="432">
        <v>90</v>
      </c>
      <c r="AO57" s="432">
        <v>10</v>
      </c>
      <c r="AP57" s="211">
        <v>450</v>
      </c>
      <c r="AQ57" s="211">
        <v>50</v>
      </c>
      <c r="AR57" s="432">
        <v>2250</v>
      </c>
      <c r="AS57" s="432">
        <v>250</v>
      </c>
      <c r="AT57" s="211">
        <v>90</v>
      </c>
      <c r="AU57" s="211">
        <v>10</v>
      </c>
      <c r="AV57" s="432">
        <v>450</v>
      </c>
      <c r="AW57" s="433">
        <v>50</v>
      </c>
      <c r="AX57" s="230">
        <v>90</v>
      </c>
      <c r="AY57" s="211">
        <v>10</v>
      </c>
      <c r="AZ57" s="432">
        <v>450</v>
      </c>
      <c r="BA57" s="432">
        <v>50</v>
      </c>
      <c r="BB57" s="432">
        <v>2250</v>
      </c>
      <c r="BC57" s="432">
        <v>250</v>
      </c>
      <c r="BD57" s="432">
        <v>90</v>
      </c>
      <c r="BE57" s="432">
        <v>10</v>
      </c>
      <c r="BF57" s="432">
        <f t="shared" ref="BF57:BG57" si="490">BD57*5</f>
        <v>450</v>
      </c>
      <c r="BG57" s="433">
        <f t="shared" si="490"/>
        <v>50</v>
      </c>
      <c r="BH57" s="427">
        <v>54</v>
      </c>
      <c r="BI57" s="211">
        <f t="shared" ref="BI57:BR57" si="491">BI56+T57</f>
        <v>1050</v>
      </c>
      <c r="BJ57" s="211">
        <f t="shared" si="491"/>
        <v>107</v>
      </c>
      <c r="BK57" s="211">
        <f t="shared" si="491"/>
        <v>4200</v>
      </c>
      <c r="BL57" s="211">
        <f t="shared" si="491"/>
        <v>428</v>
      </c>
      <c r="BM57" s="211">
        <f t="shared" si="491"/>
        <v>21000</v>
      </c>
      <c r="BN57" s="211">
        <f t="shared" si="491"/>
        <v>2140</v>
      </c>
      <c r="BO57" s="211">
        <f t="shared" si="491"/>
        <v>840</v>
      </c>
      <c r="BP57" s="211">
        <f t="shared" si="491"/>
        <v>87</v>
      </c>
      <c r="BQ57" s="211">
        <f t="shared" si="491"/>
        <v>4200</v>
      </c>
      <c r="BR57" s="211">
        <f t="shared" si="491"/>
        <v>435</v>
      </c>
      <c r="BS57" s="427">
        <v>54</v>
      </c>
      <c r="BT57" s="211">
        <f t="shared" ref="BT57:CC57" si="492">BT56+AD57</f>
        <v>1385</v>
      </c>
      <c r="BU57" s="211">
        <f t="shared" si="492"/>
        <v>139</v>
      </c>
      <c r="BV57" s="211">
        <f t="shared" si="492"/>
        <v>5609</v>
      </c>
      <c r="BW57" s="211">
        <f t="shared" si="492"/>
        <v>558</v>
      </c>
      <c r="BX57" s="211">
        <f t="shared" si="492"/>
        <v>28045</v>
      </c>
      <c r="BY57" s="211">
        <f t="shared" si="492"/>
        <v>2790</v>
      </c>
      <c r="BZ57" s="211">
        <f t="shared" si="492"/>
        <v>1308</v>
      </c>
      <c r="CA57" s="211">
        <f t="shared" si="492"/>
        <v>108</v>
      </c>
      <c r="CB57" s="211">
        <f t="shared" si="492"/>
        <v>6540</v>
      </c>
      <c r="CC57" s="211">
        <f t="shared" si="492"/>
        <v>540</v>
      </c>
      <c r="CD57" s="427">
        <v>54</v>
      </c>
      <c r="CE57" s="211">
        <f t="shared" ref="CE57:CN57" si="493">CE56+AN57</f>
        <v>1385</v>
      </c>
      <c r="CF57" s="211">
        <f t="shared" si="493"/>
        <v>139</v>
      </c>
      <c r="CG57" s="211">
        <f t="shared" si="493"/>
        <v>6925</v>
      </c>
      <c r="CH57" s="211">
        <f t="shared" si="493"/>
        <v>695</v>
      </c>
      <c r="CI57" s="211">
        <f t="shared" si="493"/>
        <v>34625</v>
      </c>
      <c r="CJ57" s="211">
        <f t="shared" si="493"/>
        <v>3475</v>
      </c>
      <c r="CK57" s="211">
        <f t="shared" si="493"/>
        <v>1385</v>
      </c>
      <c r="CL57" s="211">
        <f t="shared" si="493"/>
        <v>139</v>
      </c>
      <c r="CM57" s="211">
        <f t="shared" si="493"/>
        <v>6925</v>
      </c>
      <c r="CN57" s="211">
        <f t="shared" si="493"/>
        <v>695</v>
      </c>
      <c r="CO57" s="427">
        <v>54</v>
      </c>
      <c r="CP57" s="211">
        <f t="shared" ref="CP57:CY57" si="494">CP56+AX57</f>
        <v>1385</v>
      </c>
      <c r="CQ57" s="211">
        <f t="shared" si="494"/>
        <v>139</v>
      </c>
      <c r="CR57" s="211">
        <f t="shared" si="494"/>
        <v>6925</v>
      </c>
      <c r="CS57" s="211">
        <f t="shared" si="494"/>
        <v>695</v>
      </c>
      <c r="CT57" s="211">
        <f t="shared" si="494"/>
        <v>34625</v>
      </c>
      <c r="CU57" s="211">
        <f t="shared" si="494"/>
        <v>3475</v>
      </c>
      <c r="CV57" s="211">
        <f t="shared" si="494"/>
        <v>1385</v>
      </c>
      <c r="CW57" s="211">
        <f t="shared" si="494"/>
        <v>139</v>
      </c>
      <c r="CX57" s="211">
        <f t="shared" si="494"/>
        <v>6925</v>
      </c>
      <c r="CY57" s="211">
        <f t="shared" si="494"/>
        <v>695</v>
      </c>
      <c r="CZ57" s="421">
        <v>54</v>
      </c>
      <c r="DA57" s="24">
        <v>550000</v>
      </c>
      <c r="DB57" s="211">
        <f t="shared" si="13"/>
        <v>5913600</v>
      </c>
      <c r="DC57" s="211"/>
      <c r="DD57" s="211">
        <f t="shared" si="14"/>
        <v>800</v>
      </c>
      <c r="DE57" s="211"/>
      <c r="DF57" s="211"/>
      <c r="DG57" s="211"/>
      <c r="DH57" s="305">
        <v>54</v>
      </c>
      <c r="DI57" s="209">
        <v>122500</v>
      </c>
      <c r="DJ57" s="210">
        <v>245000</v>
      </c>
      <c r="DK57" s="306">
        <v>490000</v>
      </c>
      <c r="DL57" s="305">
        <v>54</v>
      </c>
      <c r="DM57" s="209">
        <v>245000</v>
      </c>
      <c r="DN57" s="210">
        <v>367500</v>
      </c>
      <c r="DO57" s="306">
        <v>735000</v>
      </c>
      <c r="DP57" s="307">
        <v>54</v>
      </c>
      <c r="DQ57" s="210">
        <v>490000</v>
      </c>
      <c r="DR57" s="306">
        <v>980000</v>
      </c>
      <c r="DS57" s="305">
        <v>54</v>
      </c>
      <c r="DT57" s="211">
        <f t="shared" ref="DT57:DV57" si="495">DI57+DT56</f>
        <v>2868500</v>
      </c>
      <c r="DU57" s="211">
        <f t="shared" si="495"/>
        <v>5737000</v>
      </c>
      <c r="DV57" s="211">
        <f t="shared" si="495"/>
        <v>11474000</v>
      </c>
      <c r="DW57" s="211">
        <f t="shared" ref="DW57:DY57" si="496">DM57+DW56</f>
        <v>5737000</v>
      </c>
      <c r="DX57" s="211">
        <f t="shared" si="496"/>
        <v>8605500</v>
      </c>
      <c r="DY57" s="211">
        <f t="shared" si="496"/>
        <v>17211000</v>
      </c>
      <c r="DZ57" s="211">
        <v>0</v>
      </c>
      <c r="EA57" s="211">
        <f t="shared" ref="EA57:EB57" si="497">DQ57+EA56</f>
        <v>11474000</v>
      </c>
      <c r="EB57" s="211">
        <f t="shared" si="497"/>
        <v>22948000</v>
      </c>
      <c r="EC57" s="428">
        <v>54</v>
      </c>
      <c r="ED57" s="211"/>
      <c r="EE57" s="211">
        <f t="shared" si="18"/>
        <v>7</v>
      </c>
      <c r="EF57" s="211"/>
      <c r="EG57" s="211"/>
      <c r="EH57" s="211"/>
      <c r="EI57" s="211"/>
      <c r="EJ57" s="211"/>
      <c r="EK57" s="211"/>
      <c r="EL57" s="211"/>
      <c r="EM57" s="211"/>
      <c r="EN57" s="211"/>
    </row>
    <row r="58" spans="1:144" ht="15.75" customHeight="1" x14ac:dyDescent="0.2">
      <c r="A58" s="421">
        <v>55</v>
      </c>
      <c r="B58" s="211">
        <v>450</v>
      </c>
      <c r="C58" s="211">
        <f t="shared" si="4"/>
        <v>10850</v>
      </c>
      <c r="M58" s="8"/>
      <c r="N58" s="8"/>
      <c r="O58" s="8"/>
      <c r="P58" s="8"/>
      <c r="Q58" s="8"/>
      <c r="R58" s="439"/>
      <c r="S58" s="426">
        <v>55</v>
      </c>
      <c r="T58" s="230">
        <v>80</v>
      </c>
      <c r="U58" s="211">
        <v>8</v>
      </c>
      <c r="V58" s="211">
        <v>320</v>
      </c>
      <c r="W58" s="69">
        <v>32</v>
      </c>
      <c r="X58" s="432">
        <v>1600</v>
      </c>
      <c r="Y58" s="432">
        <v>160</v>
      </c>
      <c r="Z58" s="211">
        <v>64</v>
      </c>
      <c r="AA58" s="211">
        <v>6</v>
      </c>
      <c r="AB58" s="432">
        <v>320</v>
      </c>
      <c r="AC58" s="432">
        <v>30</v>
      </c>
      <c r="AD58" s="230">
        <v>105</v>
      </c>
      <c r="AE58" s="211">
        <v>11</v>
      </c>
      <c r="AF58" s="211">
        <v>420</v>
      </c>
      <c r="AG58" s="211">
        <v>44</v>
      </c>
      <c r="AH58" s="211">
        <v>2100</v>
      </c>
      <c r="AI58" s="211">
        <v>220</v>
      </c>
      <c r="AJ58" s="69">
        <v>70</v>
      </c>
      <c r="AK58" s="69">
        <v>7</v>
      </c>
      <c r="AL58" s="435">
        <f t="shared" ref="AL58:AM58" si="498">AJ58*5</f>
        <v>350</v>
      </c>
      <c r="AM58" s="435">
        <f t="shared" si="498"/>
        <v>35</v>
      </c>
      <c r="AN58" s="432">
        <v>105</v>
      </c>
      <c r="AO58" s="432">
        <v>11</v>
      </c>
      <c r="AP58" s="432">
        <v>525</v>
      </c>
      <c r="AQ58" s="432">
        <v>55</v>
      </c>
      <c r="AR58" s="211">
        <v>2625</v>
      </c>
      <c r="AS58" s="211">
        <v>275</v>
      </c>
      <c r="AT58" s="432">
        <v>105</v>
      </c>
      <c r="AU58" s="432">
        <v>11</v>
      </c>
      <c r="AV58" s="432">
        <v>525</v>
      </c>
      <c r="AW58" s="433">
        <v>55</v>
      </c>
      <c r="AX58" s="230">
        <v>105</v>
      </c>
      <c r="AY58" s="211">
        <v>11</v>
      </c>
      <c r="AZ58" s="432">
        <v>525</v>
      </c>
      <c r="BA58" s="432">
        <v>55</v>
      </c>
      <c r="BB58" s="432">
        <v>2625</v>
      </c>
      <c r="BC58" s="432">
        <v>275</v>
      </c>
      <c r="BD58" s="432">
        <v>105</v>
      </c>
      <c r="BE58" s="432">
        <v>11</v>
      </c>
      <c r="BF58" s="432">
        <f t="shared" ref="BF58:BG58" si="499">BD58*5</f>
        <v>525</v>
      </c>
      <c r="BG58" s="433">
        <f t="shared" si="499"/>
        <v>55</v>
      </c>
      <c r="BH58" s="427">
        <v>55</v>
      </c>
      <c r="BI58" s="211">
        <f t="shared" ref="BI58:BR58" si="500">BI57+T58</f>
        <v>1130</v>
      </c>
      <c r="BJ58" s="211">
        <f t="shared" si="500"/>
        <v>115</v>
      </c>
      <c r="BK58" s="211">
        <f t="shared" si="500"/>
        <v>4520</v>
      </c>
      <c r="BL58" s="211">
        <f t="shared" si="500"/>
        <v>460</v>
      </c>
      <c r="BM58" s="211">
        <f t="shared" si="500"/>
        <v>22600</v>
      </c>
      <c r="BN58" s="211">
        <f t="shared" si="500"/>
        <v>2300</v>
      </c>
      <c r="BO58" s="211">
        <f t="shared" si="500"/>
        <v>904</v>
      </c>
      <c r="BP58" s="211">
        <f t="shared" si="500"/>
        <v>93</v>
      </c>
      <c r="BQ58" s="211">
        <f t="shared" si="500"/>
        <v>4520</v>
      </c>
      <c r="BR58" s="211">
        <f t="shared" si="500"/>
        <v>465</v>
      </c>
      <c r="BS58" s="427">
        <v>55</v>
      </c>
      <c r="BT58" s="211">
        <f t="shared" ref="BT58:CC58" si="501">BT57+AD58</f>
        <v>1490</v>
      </c>
      <c r="BU58" s="211">
        <f t="shared" si="501"/>
        <v>150</v>
      </c>
      <c r="BV58" s="211">
        <f t="shared" si="501"/>
        <v>6029</v>
      </c>
      <c r="BW58" s="211">
        <f t="shared" si="501"/>
        <v>602</v>
      </c>
      <c r="BX58" s="211">
        <f t="shared" si="501"/>
        <v>30145</v>
      </c>
      <c r="BY58" s="211">
        <f t="shared" si="501"/>
        <v>3010</v>
      </c>
      <c r="BZ58" s="211">
        <f t="shared" si="501"/>
        <v>1378</v>
      </c>
      <c r="CA58" s="211">
        <f t="shared" si="501"/>
        <v>115</v>
      </c>
      <c r="CB58" s="211">
        <f t="shared" si="501"/>
        <v>6890</v>
      </c>
      <c r="CC58" s="211">
        <f t="shared" si="501"/>
        <v>575</v>
      </c>
      <c r="CD58" s="427">
        <v>55</v>
      </c>
      <c r="CE58" s="211">
        <f t="shared" ref="CE58:CN58" si="502">CE57+AN58</f>
        <v>1490</v>
      </c>
      <c r="CF58" s="211">
        <f t="shared" si="502"/>
        <v>150</v>
      </c>
      <c r="CG58" s="211">
        <f t="shared" si="502"/>
        <v>7450</v>
      </c>
      <c r="CH58" s="211">
        <f t="shared" si="502"/>
        <v>750</v>
      </c>
      <c r="CI58" s="211">
        <f t="shared" si="502"/>
        <v>37250</v>
      </c>
      <c r="CJ58" s="211">
        <f t="shared" si="502"/>
        <v>3750</v>
      </c>
      <c r="CK58" s="211">
        <f t="shared" si="502"/>
        <v>1490</v>
      </c>
      <c r="CL58" s="211">
        <f t="shared" si="502"/>
        <v>150</v>
      </c>
      <c r="CM58" s="211">
        <f t="shared" si="502"/>
        <v>7450</v>
      </c>
      <c r="CN58" s="211">
        <f t="shared" si="502"/>
        <v>750</v>
      </c>
      <c r="CO58" s="427">
        <v>55</v>
      </c>
      <c r="CP58" s="211">
        <f t="shared" ref="CP58:CY58" si="503">CP57+AX58</f>
        <v>1490</v>
      </c>
      <c r="CQ58" s="211">
        <f t="shared" si="503"/>
        <v>150</v>
      </c>
      <c r="CR58" s="211">
        <f t="shared" si="503"/>
        <v>7450</v>
      </c>
      <c r="CS58" s="211">
        <f t="shared" si="503"/>
        <v>750</v>
      </c>
      <c r="CT58" s="211">
        <f t="shared" si="503"/>
        <v>37250</v>
      </c>
      <c r="CU58" s="211">
        <f t="shared" si="503"/>
        <v>3750</v>
      </c>
      <c r="CV58" s="211">
        <f t="shared" si="503"/>
        <v>1490</v>
      </c>
      <c r="CW58" s="211">
        <f t="shared" si="503"/>
        <v>150</v>
      </c>
      <c r="CX58" s="211">
        <f t="shared" si="503"/>
        <v>7450</v>
      </c>
      <c r="CY58" s="211">
        <f t="shared" si="503"/>
        <v>750</v>
      </c>
      <c r="CZ58" s="421">
        <v>55</v>
      </c>
      <c r="DA58" s="24">
        <v>600000</v>
      </c>
      <c r="DB58" s="211">
        <f t="shared" si="13"/>
        <v>6513600</v>
      </c>
      <c r="DC58" s="211"/>
      <c r="DD58" s="211">
        <f t="shared" si="14"/>
        <v>800</v>
      </c>
      <c r="DE58" s="211"/>
      <c r="DF58" s="211"/>
      <c r="DG58" s="211"/>
      <c r="DH58" s="308">
        <v>55</v>
      </c>
      <c r="DI58" s="309">
        <v>125000</v>
      </c>
      <c r="DJ58" s="310">
        <v>250000</v>
      </c>
      <c r="DK58" s="311">
        <v>500000</v>
      </c>
      <c r="DL58" s="308">
        <v>55</v>
      </c>
      <c r="DM58" s="309">
        <v>250000</v>
      </c>
      <c r="DN58" s="310">
        <v>375000</v>
      </c>
      <c r="DO58" s="311">
        <v>750000</v>
      </c>
      <c r="DP58" s="312">
        <v>55</v>
      </c>
      <c r="DQ58" s="310">
        <v>500000</v>
      </c>
      <c r="DR58" s="311">
        <v>1000000</v>
      </c>
      <c r="DS58" s="308">
        <v>55</v>
      </c>
      <c r="DT58" s="211">
        <f t="shared" ref="DT58:DV58" si="504">DI58+DT57</f>
        <v>2993500</v>
      </c>
      <c r="DU58" s="211">
        <f t="shared" si="504"/>
        <v>5987000</v>
      </c>
      <c r="DV58" s="211">
        <f t="shared" si="504"/>
        <v>11974000</v>
      </c>
      <c r="DW58" s="211">
        <f t="shared" ref="DW58:DY58" si="505">DM58+DW57</f>
        <v>5987000</v>
      </c>
      <c r="DX58" s="211">
        <f t="shared" si="505"/>
        <v>8980500</v>
      </c>
      <c r="DY58" s="211">
        <f t="shared" si="505"/>
        <v>17961000</v>
      </c>
      <c r="DZ58" s="211">
        <v>0</v>
      </c>
      <c r="EA58" s="211">
        <f t="shared" ref="EA58:EB58" si="506">DQ58+EA57</f>
        <v>11974000</v>
      </c>
      <c r="EB58" s="211">
        <f t="shared" si="506"/>
        <v>23948000</v>
      </c>
      <c r="EC58" s="182">
        <v>55</v>
      </c>
      <c r="ED58" s="211">
        <v>3</v>
      </c>
      <c r="EE58" s="211">
        <f t="shared" si="18"/>
        <v>10</v>
      </c>
      <c r="EF58" s="211"/>
      <c r="EG58" s="211"/>
      <c r="EH58" s="211"/>
      <c r="EI58" s="211"/>
      <c r="EJ58" s="211"/>
      <c r="EK58" s="211"/>
      <c r="EL58" s="211"/>
      <c r="EM58" s="211"/>
      <c r="EN58" s="211"/>
    </row>
    <row r="59" spans="1:144" ht="15.75" customHeight="1" x14ac:dyDescent="0.2">
      <c r="A59" s="421">
        <v>56</v>
      </c>
      <c r="B59" s="211">
        <v>460</v>
      </c>
      <c r="C59" s="211">
        <f t="shared" si="4"/>
        <v>11310</v>
      </c>
      <c r="M59" s="8"/>
      <c r="N59" s="8"/>
      <c r="O59" s="8"/>
      <c r="P59" s="8"/>
      <c r="Q59" s="8"/>
      <c r="R59" s="439"/>
      <c r="S59" s="426">
        <v>56</v>
      </c>
      <c r="T59" s="431">
        <v>80</v>
      </c>
      <c r="U59" s="432">
        <v>8</v>
      </c>
      <c r="V59" s="211">
        <v>320</v>
      </c>
      <c r="W59" s="69">
        <v>32</v>
      </c>
      <c r="X59" s="211">
        <v>1600</v>
      </c>
      <c r="Y59" s="211">
        <v>160</v>
      </c>
      <c r="Z59" s="211"/>
      <c r="AA59" s="211"/>
      <c r="AB59" s="211"/>
      <c r="AC59" s="211"/>
      <c r="AD59" s="230">
        <v>105</v>
      </c>
      <c r="AE59" s="211">
        <v>11</v>
      </c>
      <c r="AF59" s="211">
        <v>420</v>
      </c>
      <c r="AG59" s="211">
        <v>44</v>
      </c>
      <c r="AH59" s="432">
        <v>2100</v>
      </c>
      <c r="AI59" s="432">
        <v>220</v>
      </c>
      <c r="AJ59" s="69">
        <v>80</v>
      </c>
      <c r="AK59" s="69">
        <v>8</v>
      </c>
      <c r="AL59" s="435">
        <f t="shared" ref="AL59:AM59" si="507">AJ59*5</f>
        <v>400</v>
      </c>
      <c r="AM59" s="435">
        <f t="shared" si="507"/>
        <v>40</v>
      </c>
      <c r="AN59" s="432">
        <v>105</v>
      </c>
      <c r="AO59" s="432">
        <v>11</v>
      </c>
      <c r="AP59" s="211">
        <v>525</v>
      </c>
      <c r="AQ59" s="211">
        <v>55</v>
      </c>
      <c r="AR59" s="211">
        <v>2625</v>
      </c>
      <c r="AS59" s="211">
        <v>275</v>
      </c>
      <c r="AT59" s="211">
        <v>105</v>
      </c>
      <c r="AU59" s="211">
        <v>11</v>
      </c>
      <c r="AV59" s="432">
        <v>525</v>
      </c>
      <c r="AW59" s="433">
        <v>55</v>
      </c>
      <c r="AX59" s="230">
        <v>105</v>
      </c>
      <c r="AY59" s="211">
        <v>11</v>
      </c>
      <c r="AZ59" s="432">
        <v>525</v>
      </c>
      <c r="BA59" s="432">
        <v>55</v>
      </c>
      <c r="BB59" s="432">
        <v>2625</v>
      </c>
      <c r="BC59" s="432">
        <v>275</v>
      </c>
      <c r="BD59" s="432">
        <v>105</v>
      </c>
      <c r="BE59" s="432">
        <v>11</v>
      </c>
      <c r="BF59" s="432">
        <f t="shared" ref="BF59:BG59" si="508">BD59*5</f>
        <v>525</v>
      </c>
      <c r="BG59" s="433">
        <f t="shared" si="508"/>
        <v>55</v>
      </c>
      <c r="BH59" s="427">
        <v>56</v>
      </c>
      <c r="BI59" s="211">
        <f t="shared" ref="BI59:BR59" si="509">BI58+T59</f>
        <v>1210</v>
      </c>
      <c r="BJ59" s="211">
        <f t="shared" si="509"/>
        <v>123</v>
      </c>
      <c r="BK59" s="211">
        <f t="shared" si="509"/>
        <v>4840</v>
      </c>
      <c r="BL59" s="211">
        <f t="shared" si="509"/>
        <v>492</v>
      </c>
      <c r="BM59" s="211">
        <f t="shared" si="509"/>
        <v>24200</v>
      </c>
      <c r="BN59" s="211">
        <f t="shared" si="509"/>
        <v>2460</v>
      </c>
      <c r="BO59" s="211">
        <f t="shared" si="509"/>
        <v>904</v>
      </c>
      <c r="BP59" s="211">
        <f t="shared" si="509"/>
        <v>93</v>
      </c>
      <c r="BQ59" s="211">
        <f t="shared" si="509"/>
        <v>4520</v>
      </c>
      <c r="BR59" s="211">
        <f t="shared" si="509"/>
        <v>465</v>
      </c>
      <c r="BS59" s="427">
        <v>56</v>
      </c>
      <c r="BT59" s="211">
        <f t="shared" ref="BT59:CC59" si="510">BT58+AD59</f>
        <v>1595</v>
      </c>
      <c r="BU59" s="211">
        <f t="shared" si="510"/>
        <v>161</v>
      </c>
      <c r="BV59" s="211">
        <f t="shared" si="510"/>
        <v>6449</v>
      </c>
      <c r="BW59" s="211">
        <f t="shared" si="510"/>
        <v>646</v>
      </c>
      <c r="BX59" s="211">
        <f t="shared" si="510"/>
        <v>32245</v>
      </c>
      <c r="BY59" s="211">
        <f t="shared" si="510"/>
        <v>3230</v>
      </c>
      <c r="BZ59" s="211">
        <f t="shared" si="510"/>
        <v>1458</v>
      </c>
      <c r="CA59" s="211">
        <f t="shared" si="510"/>
        <v>123</v>
      </c>
      <c r="CB59" s="211">
        <f t="shared" si="510"/>
        <v>7290</v>
      </c>
      <c r="CC59" s="211">
        <f t="shared" si="510"/>
        <v>615</v>
      </c>
      <c r="CD59" s="427">
        <v>56</v>
      </c>
      <c r="CE59" s="211">
        <f t="shared" ref="CE59:CN59" si="511">CE58+AN59</f>
        <v>1595</v>
      </c>
      <c r="CF59" s="211">
        <f t="shared" si="511"/>
        <v>161</v>
      </c>
      <c r="CG59" s="211">
        <f t="shared" si="511"/>
        <v>7975</v>
      </c>
      <c r="CH59" s="211">
        <f t="shared" si="511"/>
        <v>805</v>
      </c>
      <c r="CI59" s="211">
        <f t="shared" si="511"/>
        <v>39875</v>
      </c>
      <c r="CJ59" s="211">
        <f t="shared" si="511"/>
        <v>4025</v>
      </c>
      <c r="CK59" s="211">
        <f t="shared" si="511"/>
        <v>1595</v>
      </c>
      <c r="CL59" s="211">
        <f t="shared" si="511"/>
        <v>161</v>
      </c>
      <c r="CM59" s="211">
        <f t="shared" si="511"/>
        <v>7975</v>
      </c>
      <c r="CN59" s="211">
        <f t="shared" si="511"/>
        <v>805</v>
      </c>
      <c r="CO59" s="427">
        <v>56</v>
      </c>
      <c r="CP59" s="211">
        <f t="shared" ref="CP59:CY59" si="512">CP58+AX59</f>
        <v>1595</v>
      </c>
      <c r="CQ59" s="211">
        <f t="shared" si="512"/>
        <v>161</v>
      </c>
      <c r="CR59" s="211">
        <f t="shared" si="512"/>
        <v>7975</v>
      </c>
      <c r="CS59" s="211">
        <f t="shared" si="512"/>
        <v>805</v>
      </c>
      <c r="CT59" s="211">
        <f t="shared" si="512"/>
        <v>39875</v>
      </c>
      <c r="CU59" s="211">
        <f t="shared" si="512"/>
        <v>4025</v>
      </c>
      <c r="CV59" s="211">
        <f t="shared" si="512"/>
        <v>1595</v>
      </c>
      <c r="CW59" s="211">
        <f t="shared" si="512"/>
        <v>161</v>
      </c>
      <c r="CX59" s="211">
        <f t="shared" si="512"/>
        <v>7975</v>
      </c>
      <c r="CY59" s="211">
        <f t="shared" si="512"/>
        <v>805</v>
      </c>
      <c r="CZ59" s="421">
        <v>56</v>
      </c>
      <c r="DA59" s="24">
        <v>650000</v>
      </c>
      <c r="DB59" s="211">
        <f t="shared" si="13"/>
        <v>7163600</v>
      </c>
      <c r="DC59" s="211"/>
      <c r="DD59" s="211">
        <f t="shared" si="14"/>
        <v>800</v>
      </c>
      <c r="DE59" s="211"/>
      <c r="DF59" s="211"/>
      <c r="DG59" s="211"/>
      <c r="DH59" s="308">
        <v>56</v>
      </c>
      <c r="DI59" s="309">
        <v>127500</v>
      </c>
      <c r="DJ59" s="310">
        <v>255000</v>
      </c>
      <c r="DK59" s="311">
        <v>510000</v>
      </c>
      <c r="DL59" s="308">
        <v>56</v>
      </c>
      <c r="DM59" s="309">
        <v>255000</v>
      </c>
      <c r="DN59" s="310">
        <v>382500</v>
      </c>
      <c r="DO59" s="311">
        <v>765000</v>
      </c>
      <c r="DP59" s="312">
        <v>56</v>
      </c>
      <c r="DQ59" s="310">
        <v>510000</v>
      </c>
      <c r="DR59" s="311">
        <v>1020000</v>
      </c>
      <c r="DS59" s="308">
        <v>56</v>
      </c>
      <c r="DT59" s="211">
        <f t="shared" ref="DT59:DV59" si="513">DI59+DT58</f>
        <v>3121000</v>
      </c>
      <c r="DU59" s="211">
        <f t="shared" si="513"/>
        <v>6242000</v>
      </c>
      <c r="DV59" s="211">
        <f t="shared" si="513"/>
        <v>12484000</v>
      </c>
      <c r="DW59" s="211">
        <f t="shared" ref="DW59:DY59" si="514">DM59+DW58</f>
        <v>6242000</v>
      </c>
      <c r="DX59" s="211">
        <f t="shared" si="514"/>
        <v>9363000</v>
      </c>
      <c r="DY59" s="211">
        <f t="shared" si="514"/>
        <v>18726000</v>
      </c>
      <c r="DZ59" s="211">
        <v>0</v>
      </c>
      <c r="EA59" s="211">
        <f t="shared" ref="EA59:EB59" si="515">DQ59+EA58</f>
        <v>12484000</v>
      </c>
      <c r="EB59" s="211">
        <f t="shared" si="515"/>
        <v>24968000</v>
      </c>
      <c r="EC59" s="182">
        <v>56</v>
      </c>
      <c r="ED59" s="211"/>
      <c r="EE59" s="211">
        <f t="shared" si="18"/>
        <v>10</v>
      </c>
      <c r="EF59" s="211"/>
      <c r="EG59" s="211"/>
      <c r="EH59" s="211"/>
      <c r="EI59" s="211"/>
      <c r="EJ59" s="211"/>
      <c r="EK59" s="211"/>
      <c r="EL59" s="211"/>
      <c r="EM59" s="211"/>
      <c r="EN59" s="211"/>
    </row>
    <row r="60" spans="1:144" ht="15.75" customHeight="1" x14ac:dyDescent="0.2">
      <c r="A60" s="421">
        <v>57</v>
      </c>
      <c r="B60" s="211">
        <v>470</v>
      </c>
      <c r="C60" s="211">
        <f t="shared" si="4"/>
        <v>11780</v>
      </c>
      <c r="M60" s="8"/>
      <c r="N60" s="8"/>
      <c r="O60" s="8"/>
      <c r="P60" s="8"/>
      <c r="Q60" s="8"/>
      <c r="R60" s="439"/>
      <c r="S60" s="426">
        <v>57</v>
      </c>
      <c r="T60" s="431">
        <v>90</v>
      </c>
      <c r="U60" s="432">
        <v>9</v>
      </c>
      <c r="V60" s="211">
        <v>360</v>
      </c>
      <c r="W60" s="69">
        <v>36</v>
      </c>
      <c r="X60" s="211">
        <v>1800</v>
      </c>
      <c r="Y60" s="211">
        <v>180</v>
      </c>
      <c r="Z60" s="211"/>
      <c r="AA60" s="211"/>
      <c r="AB60" s="211"/>
      <c r="AC60" s="211"/>
      <c r="AD60" s="230">
        <v>120</v>
      </c>
      <c r="AE60" s="211">
        <v>12</v>
      </c>
      <c r="AF60" s="211">
        <v>480</v>
      </c>
      <c r="AG60" s="211">
        <v>48</v>
      </c>
      <c r="AH60" s="211">
        <v>2400</v>
      </c>
      <c r="AI60" s="211">
        <v>240</v>
      </c>
      <c r="AJ60" s="69">
        <v>80</v>
      </c>
      <c r="AK60" s="69">
        <v>8</v>
      </c>
      <c r="AL60" s="435">
        <f t="shared" ref="AL60:AM60" si="516">AJ60*5</f>
        <v>400</v>
      </c>
      <c r="AM60" s="435">
        <f t="shared" si="516"/>
        <v>40</v>
      </c>
      <c r="AN60" s="432">
        <v>120</v>
      </c>
      <c r="AO60" s="432">
        <v>12</v>
      </c>
      <c r="AP60" s="432">
        <v>600</v>
      </c>
      <c r="AQ60" s="432">
        <v>60</v>
      </c>
      <c r="AR60" s="211">
        <v>3000</v>
      </c>
      <c r="AS60" s="211">
        <v>300</v>
      </c>
      <c r="AT60" s="432">
        <v>120</v>
      </c>
      <c r="AU60" s="432">
        <v>12</v>
      </c>
      <c r="AV60" s="432">
        <v>600</v>
      </c>
      <c r="AW60" s="433">
        <v>60</v>
      </c>
      <c r="AX60" s="230">
        <v>120</v>
      </c>
      <c r="AY60" s="211">
        <v>12</v>
      </c>
      <c r="AZ60" s="432">
        <v>600</v>
      </c>
      <c r="BA60" s="432">
        <v>60</v>
      </c>
      <c r="BB60" s="432">
        <v>3000</v>
      </c>
      <c r="BC60" s="432">
        <v>300</v>
      </c>
      <c r="BD60" s="432">
        <v>120</v>
      </c>
      <c r="BE60" s="432">
        <v>12</v>
      </c>
      <c r="BF60" s="432">
        <f t="shared" ref="BF60:BG60" si="517">BD60*5</f>
        <v>600</v>
      </c>
      <c r="BG60" s="433">
        <f t="shared" si="517"/>
        <v>60</v>
      </c>
      <c r="BH60" s="427">
        <v>57</v>
      </c>
      <c r="BI60" s="211">
        <f t="shared" ref="BI60:BR60" si="518">BI59+T60</f>
        <v>1300</v>
      </c>
      <c r="BJ60" s="211">
        <f t="shared" si="518"/>
        <v>132</v>
      </c>
      <c r="BK60" s="211">
        <f t="shared" si="518"/>
        <v>5200</v>
      </c>
      <c r="BL60" s="211">
        <f t="shared" si="518"/>
        <v>528</v>
      </c>
      <c r="BM60" s="211">
        <f t="shared" si="518"/>
        <v>26000</v>
      </c>
      <c r="BN60" s="211">
        <f t="shared" si="518"/>
        <v>2640</v>
      </c>
      <c r="BO60" s="211">
        <f t="shared" si="518"/>
        <v>904</v>
      </c>
      <c r="BP60" s="211">
        <f t="shared" si="518"/>
        <v>93</v>
      </c>
      <c r="BQ60" s="211">
        <f t="shared" si="518"/>
        <v>4520</v>
      </c>
      <c r="BR60" s="211">
        <f t="shared" si="518"/>
        <v>465</v>
      </c>
      <c r="BS60" s="427">
        <v>57</v>
      </c>
      <c r="BT60" s="211">
        <f t="shared" ref="BT60:CC60" si="519">BT59+AD60</f>
        <v>1715</v>
      </c>
      <c r="BU60" s="211">
        <f t="shared" si="519"/>
        <v>173</v>
      </c>
      <c r="BV60" s="211">
        <f t="shared" si="519"/>
        <v>6929</v>
      </c>
      <c r="BW60" s="211">
        <f t="shared" si="519"/>
        <v>694</v>
      </c>
      <c r="BX60" s="211">
        <f t="shared" si="519"/>
        <v>34645</v>
      </c>
      <c r="BY60" s="211">
        <f t="shared" si="519"/>
        <v>3470</v>
      </c>
      <c r="BZ60" s="211">
        <f t="shared" si="519"/>
        <v>1538</v>
      </c>
      <c r="CA60" s="211">
        <f t="shared" si="519"/>
        <v>131</v>
      </c>
      <c r="CB60" s="211">
        <f t="shared" si="519"/>
        <v>7690</v>
      </c>
      <c r="CC60" s="211">
        <f t="shared" si="519"/>
        <v>655</v>
      </c>
      <c r="CD60" s="427">
        <v>57</v>
      </c>
      <c r="CE60" s="211">
        <f t="shared" ref="CE60:CN60" si="520">CE59+AN60</f>
        <v>1715</v>
      </c>
      <c r="CF60" s="211">
        <f t="shared" si="520"/>
        <v>173</v>
      </c>
      <c r="CG60" s="211">
        <f t="shared" si="520"/>
        <v>8575</v>
      </c>
      <c r="CH60" s="211">
        <f t="shared" si="520"/>
        <v>865</v>
      </c>
      <c r="CI60" s="211">
        <f t="shared" si="520"/>
        <v>42875</v>
      </c>
      <c r="CJ60" s="211">
        <f t="shared" si="520"/>
        <v>4325</v>
      </c>
      <c r="CK60" s="211">
        <f t="shared" si="520"/>
        <v>1715</v>
      </c>
      <c r="CL60" s="211">
        <f t="shared" si="520"/>
        <v>173</v>
      </c>
      <c r="CM60" s="211">
        <f t="shared" si="520"/>
        <v>8575</v>
      </c>
      <c r="CN60" s="211">
        <f t="shared" si="520"/>
        <v>865</v>
      </c>
      <c r="CO60" s="427">
        <v>57</v>
      </c>
      <c r="CP60" s="211">
        <f t="shared" ref="CP60:CY60" si="521">CP59+AX60</f>
        <v>1715</v>
      </c>
      <c r="CQ60" s="211">
        <f t="shared" si="521"/>
        <v>173</v>
      </c>
      <c r="CR60" s="211">
        <f t="shared" si="521"/>
        <v>8575</v>
      </c>
      <c r="CS60" s="211">
        <f t="shared" si="521"/>
        <v>865</v>
      </c>
      <c r="CT60" s="211">
        <f t="shared" si="521"/>
        <v>42875</v>
      </c>
      <c r="CU60" s="211">
        <f t="shared" si="521"/>
        <v>4325</v>
      </c>
      <c r="CV60" s="211">
        <f t="shared" si="521"/>
        <v>1715</v>
      </c>
      <c r="CW60" s="211">
        <f t="shared" si="521"/>
        <v>173</v>
      </c>
      <c r="CX60" s="211">
        <f t="shared" si="521"/>
        <v>8575</v>
      </c>
      <c r="CY60" s="211">
        <f t="shared" si="521"/>
        <v>865</v>
      </c>
      <c r="CZ60" s="421">
        <v>57</v>
      </c>
      <c r="DA60" s="24">
        <v>700000</v>
      </c>
      <c r="DB60" s="211">
        <f t="shared" si="13"/>
        <v>7863600</v>
      </c>
      <c r="DC60" s="211"/>
      <c r="DD60" s="211">
        <f t="shared" si="14"/>
        <v>800</v>
      </c>
      <c r="DE60" s="211"/>
      <c r="DF60" s="211"/>
      <c r="DG60" s="211"/>
      <c r="DH60" s="308">
        <v>57</v>
      </c>
      <c r="DI60" s="309">
        <v>130000</v>
      </c>
      <c r="DJ60" s="310">
        <v>260000</v>
      </c>
      <c r="DK60" s="311">
        <v>520000</v>
      </c>
      <c r="DL60" s="308">
        <v>57</v>
      </c>
      <c r="DM60" s="309">
        <v>260000</v>
      </c>
      <c r="DN60" s="310">
        <v>390000</v>
      </c>
      <c r="DO60" s="311">
        <v>780000</v>
      </c>
      <c r="DP60" s="312">
        <v>57</v>
      </c>
      <c r="DQ60" s="310">
        <v>520000</v>
      </c>
      <c r="DR60" s="311">
        <v>1040000</v>
      </c>
      <c r="DS60" s="308">
        <v>57</v>
      </c>
      <c r="DT60" s="211">
        <f t="shared" ref="DT60:DV60" si="522">DI60+DT59</f>
        <v>3251000</v>
      </c>
      <c r="DU60" s="211">
        <f t="shared" si="522"/>
        <v>6502000</v>
      </c>
      <c r="DV60" s="211">
        <f t="shared" si="522"/>
        <v>13004000</v>
      </c>
      <c r="DW60" s="211">
        <f t="shared" ref="DW60:DY60" si="523">DM60+DW59</f>
        <v>6502000</v>
      </c>
      <c r="DX60" s="211">
        <f t="shared" si="523"/>
        <v>9753000</v>
      </c>
      <c r="DY60" s="211">
        <f t="shared" si="523"/>
        <v>19506000</v>
      </c>
      <c r="DZ60" s="211">
        <v>0</v>
      </c>
      <c r="EA60" s="211">
        <f t="shared" ref="EA60:EB60" si="524">DQ60+EA59</f>
        <v>13004000</v>
      </c>
      <c r="EB60" s="211">
        <f t="shared" si="524"/>
        <v>26008000</v>
      </c>
      <c r="EC60" s="182">
        <v>57</v>
      </c>
      <c r="ED60" s="211"/>
      <c r="EE60" s="211">
        <f t="shared" si="18"/>
        <v>10</v>
      </c>
      <c r="EF60" s="211"/>
      <c r="EG60" s="211"/>
      <c r="EH60" s="211"/>
      <c r="EI60" s="211"/>
      <c r="EJ60" s="211"/>
      <c r="EK60" s="211"/>
      <c r="EL60" s="211"/>
      <c r="EM60" s="211"/>
      <c r="EN60" s="211"/>
    </row>
    <row r="61" spans="1:144" ht="15.75" customHeight="1" x14ac:dyDescent="0.2">
      <c r="A61" s="421">
        <v>58</v>
      </c>
      <c r="B61" s="211">
        <v>480</v>
      </c>
      <c r="C61" s="211">
        <f t="shared" si="4"/>
        <v>12260</v>
      </c>
      <c r="M61" s="8"/>
      <c r="N61" s="8"/>
      <c r="O61" s="8"/>
      <c r="P61" s="8"/>
      <c r="Q61" s="8"/>
      <c r="R61" s="439"/>
      <c r="S61" s="426">
        <v>58</v>
      </c>
      <c r="T61" s="431">
        <v>100</v>
      </c>
      <c r="U61" s="432">
        <v>9</v>
      </c>
      <c r="V61" s="211">
        <v>400</v>
      </c>
      <c r="W61" s="69">
        <v>36</v>
      </c>
      <c r="X61" s="211">
        <v>2000</v>
      </c>
      <c r="Y61" s="211">
        <v>180</v>
      </c>
      <c r="Z61" s="211">
        <v>80</v>
      </c>
      <c r="AA61" s="211">
        <v>7</v>
      </c>
      <c r="AB61" s="432">
        <v>400</v>
      </c>
      <c r="AC61" s="432">
        <v>35</v>
      </c>
      <c r="AD61" s="230">
        <v>135</v>
      </c>
      <c r="AE61" s="211">
        <v>13</v>
      </c>
      <c r="AF61" s="211">
        <v>540</v>
      </c>
      <c r="AG61" s="211">
        <v>54</v>
      </c>
      <c r="AH61" s="211">
        <v>2700</v>
      </c>
      <c r="AI61" s="211">
        <v>270</v>
      </c>
      <c r="AJ61" s="69">
        <v>80</v>
      </c>
      <c r="AK61" s="69">
        <v>8</v>
      </c>
      <c r="AL61" s="435">
        <f t="shared" ref="AL61:AM61" si="525">AJ61*5</f>
        <v>400</v>
      </c>
      <c r="AM61" s="435">
        <f t="shared" si="525"/>
        <v>40</v>
      </c>
      <c r="AN61" s="432">
        <v>135</v>
      </c>
      <c r="AO61" s="432">
        <v>13</v>
      </c>
      <c r="AP61" s="432">
        <v>675</v>
      </c>
      <c r="AQ61" s="432">
        <v>65</v>
      </c>
      <c r="AR61" s="211">
        <v>3375</v>
      </c>
      <c r="AS61" s="211">
        <v>325</v>
      </c>
      <c r="AT61" s="432">
        <v>135</v>
      </c>
      <c r="AU61" s="432">
        <v>13</v>
      </c>
      <c r="AV61" s="432">
        <v>675</v>
      </c>
      <c r="AW61" s="433">
        <v>65</v>
      </c>
      <c r="AX61" s="230">
        <v>135</v>
      </c>
      <c r="AY61" s="211">
        <v>13</v>
      </c>
      <c r="AZ61" s="432">
        <v>675</v>
      </c>
      <c r="BA61" s="432">
        <v>65</v>
      </c>
      <c r="BB61" s="432">
        <v>3375</v>
      </c>
      <c r="BC61" s="432">
        <v>325</v>
      </c>
      <c r="BD61" s="432">
        <v>135</v>
      </c>
      <c r="BE61" s="432">
        <v>13</v>
      </c>
      <c r="BF61" s="432">
        <f t="shared" ref="BF61:BG61" si="526">BD61*5</f>
        <v>675</v>
      </c>
      <c r="BG61" s="433">
        <f t="shared" si="526"/>
        <v>65</v>
      </c>
      <c r="BH61" s="427">
        <v>58</v>
      </c>
      <c r="BI61" s="211">
        <f t="shared" ref="BI61:BR61" si="527">BI60+T61</f>
        <v>1400</v>
      </c>
      <c r="BJ61" s="211">
        <f t="shared" si="527"/>
        <v>141</v>
      </c>
      <c r="BK61" s="211">
        <f t="shared" si="527"/>
        <v>5600</v>
      </c>
      <c r="BL61" s="211">
        <f t="shared" si="527"/>
        <v>564</v>
      </c>
      <c r="BM61" s="211">
        <f t="shared" si="527"/>
        <v>28000</v>
      </c>
      <c r="BN61" s="211">
        <f t="shared" si="527"/>
        <v>2820</v>
      </c>
      <c r="BO61" s="211">
        <f t="shared" si="527"/>
        <v>984</v>
      </c>
      <c r="BP61" s="211">
        <f t="shared" si="527"/>
        <v>100</v>
      </c>
      <c r="BQ61" s="211">
        <f t="shared" si="527"/>
        <v>4920</v>
      </c>
      <c r="BR61" s="211">
        <f t="shared" si="527"/>
        <v>500</v>
      </c>
      <c r="BS61" s="427">
        <v>58</v>
      </c>
      <c r="BT61" s="211">
        <f t="shared" ref="BT61:CC61" si="528">BT60+AD61</f>
        <v>1850</v>
      </c>
      <c r="BU61" s="211">
        <f t="shared" si="528"/>
        <v>186</v>
      </c>
      <c r="BV61" s="211">
        <f t="shared" si="528"/>
        <v>7469</v>
      </c>
      <c r="BW61" s="211">
        <f t="shared" si="528"/>
        <v>748</v>
      </c>
      <c r="BX61" s="211">
        <f t="shared" si="528"/>
        <v>37345</v>
      </c>
      <c r="BY61" s="211">
        <f t="shared" si="528"/>
        <v>3740</v>
      </c>
      <c r="BZ61" s="211">
        <f t="shared" si="528"/>
        <v>1618</v>
      </c>
      <c r="CA61" s="211">
        <f t="shared" si="528"/>
        <v>139</v>
      </c>
      <c r="CB61" s="211">
        <f t="shared" si="528"/>
        <v>8090</v>
      </c>
      <c r="CC61" s="211">
        <f t="shared" si="528"/>
        <v>695</v>
      </c>
      <c r="CD61" s="427">
        <v>58</v>
      </c>
      <c r="CE61" s="211">
        <f t="shared" ref="CE61:CN61" si="529">CE60+AN61</f>
        <v>1850</v>
      </c>
      <c r="CF61" s="211">
        <f t="shared" si="529"/>
        <v>186</v>
      </c>
      <c r="CG61" s="211">
        <f t="shared" si="529"/>
        <v>9250</v>
      </c>
      <c r="CH61" s="211">
        <f t="shared" si="529"/>
        <v>930</v>
      </c>
      <c r="CI61" s="211">
        <f t="shared" si="529"/>
        <v>46250</v>
      </c>
      <c r="CJ61" s="211">
        <f t="shared" si="529"/>
        <v>4650</v>
      </c>
      <c r="CK61" s="211">
        <f t="shared" si="529"/>
        <v>1850</v>
      </c>
      <c r="CL61" s="211">
        <f t="shared" si="529"/>
        <v>186</v>
      </c>
      <c r="CM61" s="211">
        <f t="shared" si="529"/>
        <v>9250</v>
      </c>
      <c r="CN61" s="211">
        <f t="shared" si="529"/>
        <v>930</v>
      </c>
      <c r="CO61" s="427">
        <v>58</v>
      </c>
      <c r="CP61" s="211">
        <f t="shared" ref="CP61:CY61" si="530">CP60+AX61</f>
        <v>1850</v>
      </c>
      <c r="CQ61" s="211">
        <f t="shared" si="530"/>
        <v>186</v>
      </c>
      <c r="CR61" s="211">
        <f t="shared" si="530"/>
        <v>9250</v>
      </c>
      <c r="CS61" s="211">
        <f t="shared" si="530"/>
        <v>930</v>
      </c>
      <c r="CT61" s="211">
        <f t="shared" si="530"/>
        <v>46250</v>
      </c>
      <c r="CU61" s="211">
        <f t="shared" si="530"/>
        <v>4650</v>
      </c>
      <c r="CV61" s="211">
        <f t="shared" si="530"/>
        <v>1850</v>
      </c>
      <c r="CW61" s="211">
        <f t="shared" si="530"/>
        <v>186</v>
      </c>
      <c r="CX61" s="211">
        <f t="shared" si="530"/>
        <v>9250</v>
      </c>
      <c r="CY61" s="211">
        <f t="shared" si="530"/>
        <v>930</v>
      </c>
      <c r="CZ61" s="421">
        <v>58</v>
      </c>
      <c r="DA61" s="24">
        <v>750000</v>
      </c>
      <c r="DB61" s="211">
        <f t="shared" si="13"/>
        <v>8613600</v>
      </c>
      <c r="DC61" s="211"/>
      <c r="DD61" s="211">
        <f t="shared" si="14"/>
        <v>800</v>
      </c>
      <c r="DE61" s="211"/>
      <c r="DF61" s="211"/>
      <c r="DG61" s="211"/>
      <c r="DH61" s="308">
        <v>58</v>
      </c>
      <c r="DI61" s="309">
        <v>132500</v>
      </c>
      <c r="DJ61" s="310">
        <v>265000</v>
      </c>
      <c r="DK61" s="311">
        <v>530000</v>
      </c>
      <c r="DL61" s="308">
        <v>58</v>
      </c>
      <c r="DM61" s="309">
        <v>265000</v>
      </c>
      <c r="DN61" s="310">
        <v>397500</v>
      </c>
      <c r="DO61" s="311">
        <v>795000</v>
      </c>
      <c r="DP61" s="312">
        <v>58</v>
      </c>
      <c r="DQ61" s="310">
        <v>530000</v>
      </c>
      <c r="DR61" s="311">
        <v>1060000</v>
      </c>
      <c r="DS61" s="308">
        <v>58</v>
      </c>
      <c r="DT61" s="211">
        <f t="shared" ref="DT61:DV61" si="531">DI61+DT60</f>
        <v>3383500</v>
      </c>
      <c r="DU61" s="211">
        <f t="shared" si="531"/>
        <v>6767000</v>
      </c>
      <c r="DV61" s="211">
        <f t="shared" si="531"/>
        <v>13534000</v>
      </c>
      <c r="DW61" s="211">
        <f t="shared" ref="DW61:DY61" si="532">DM61+DW60</f>
        <v>6767000</v>
      </c>
      <c r="DX61" s="211">
        <f t="shared" si="532"/>
        <v>10150500</v>
      </c>
      <c r="DY61" s="211">
        <f t="shared" si="532"/>
        <v>20301000</v>
      </c>
      <c r="DZ61" s="211">
        <v>0</v>
      </c>
      <c r="EA61" s="211">
        <f t="shared" ref="EA61:EB61" si="533">DQ61+EA60</f>
        <v>13534000</v>
      </c>
      <c r="EB61" s="211">
        <f t="shared" si="533"/>
        <v>27068000</v>
      </c>
      <c r="EC61" s="182">
        <v>58</v>
      </c>
      <c r="ED61" s="211"/>
      <c r="EE61" s="211">
        <f t="shared" si="18"/>
        <v>10</v>
      </c>
      <c r="EF61" s="211"/>
      <c r="EG61" s="211"/>
      <c r="EH61" s="211"/>
      <c r="EI61" s="211"/>
      <c r="EJ61" s="211"/>
      <c r="EK61" s="211"/>
      <c r="EL61" s="211"/>
      <c r="EM61" s="211"/>
      <c r="EN61" s="211"/>
    </row>
    <row r="62" spans="1:144" ht="15.75" customHeight="1" x14ac:dyDescent="0.2">
      <c r="A62" s="421">
        <v>59</v>
      </c>
      <c r="B62" s="211">
        <v>490</v>
      </c>
      <c r="C62" s="211">
        <f t="shared" si="4"/>
        <v>12750</v>
      </c>
      <c r="M62" s="8"/>
      <c r="N62" s="8"/>
      <c r="O62" s="8"/>
      <c r="P62" s="8"/>
      <c r="Q62" s="8"/>
      <c r="R62" s="439"/>
      <c r="S62" s="426">
        <v>59</v>
      </c>
      <c r="T62" s="451">
        <v>100</v>
      </c>
      <c r="U62" s="452">
        <v>9</v>
      </c>
      <c r="V62" s="453">
        <v>400</v>
      </c>
      <c r="W62" s="453">
        <v>36</v>
      </c>
      <c r="X62" s="453">
        <v>2000</v>
      </c>
      <c r="Y62" s="453">
        <v>180</v>
      </c>
      <c r="Z62" s="453"/>
      <c r="AA62" s="453"/>
      <c r="AB62" s="453"/>
      <c r="AC62" s="453"/>
      <c r="AD62" s="388">
        <v>150</v>
      </c>
      <c r="AE62" s="453">
        <v>14</v>
      </c>
      <c r="AF62" s="453">
        <v>600</v>
      </c>
      <c r="AG62" s="453">
        <v>60</v>
      </c>
      <c r="AH62" s="452">
        <v>3000</v>
      </c>
      <c r="AI62" s="452">
        <v>300</v>
      </c>
      <c r="AJ62" s="73">
        <v>100</v>
      </c>
      <c r="AK62" s="73">
        <v>10</v>
      </c>
      <c r="AL62" s="454">
        <f t="shared" ref="AL62:AM62" si="534">AJ62*5</f>
        <v>500</v>
      </c>
      <c r="AM62" s="454">
        <f t="shared" si="534"/>
        <v>50</v>
      </c>
      <c r="AN62" s="432">
        <v>150</v>
      </c>
      <c r="AO62" s="432">
        <v>14</v>
      </c>
      <c r="AP62" s="211">
        <v>750</v>
      </c>
      <c r="AQ62" s="211">
        <v>70</v>
      </c>
      <c r="AR62" s="432">
        <v>3750</v>
      </c>
      <c r="AS62" s="432">
        <v>350</v>
      </c>
      <c r="AT62" s="432">
        <v>150</v>
      </c>
      <c r="AU62" s="432">
        <v>14</v>
      </c>
      <c r="AV62" s="432">
        <v>750</v>
      </c>
      <c r="AW62" s="433">
        <v>70</v>
      </c>
      <c r="AX62" s="388">
        <v>150</v>
      </c>
      <c r="AY62" s="453">
        <v>14</v>
      </c>
      <c r="AZ62" s="453">
        <v>750</v>
      </c>
      <c r="BA62" s="453">
        <v>70</v>
      </c>
      <c r="BB62" s="452">
        <v>3750</v>
      </c>
      <c r="BC62" s="452">
        <v>350</v>
      </c>
      <c r="BD62" s="452">
        <v>150</v>
      </c>
      <c r="BE62" s="452">
        <v>14</v>
      </c>
      <c r="BF62" s="452">
        <f t="shared" ref="BF62:BG62" si="535">BD62*5</f>
        <v>750</v>
      </c>
      <c r="BG62" s="455">
        <f t="shared" si="535"/>
        <v>70</v>
      </c>
      <c r="BH62" s="427">
        <v>59</v>
      </c>
      <c r="BI62" s="211">
        <f t="shared" ref="BI62:BR62" si="536">BI61+T62</f>
        <v>1500</v>
      </c>
      <c r="BJ62" s="211">
        <f t="shared" si="536"/>
        <v>150</v>
      </c>
      <c r="BK62" s="211">
        <f t="shared" si="536"/>
        <v>6000</v>
      </c>
      <c r="BL62" s="211">
        <f t="shared" si="536"/>
        <v>600</v>
      </c>
      <c r="BM62" s="211">
        <f t="shared" si="536"/>
        <v>30000</v>
      </c>
      <c r="BN62" s="211">
        <f t="shared" si="536"/>
        <v>3000</v>
      </c>
      <c r="BO62" s="211">
        <f t="shared" si="536"/>
        <v>984</v>
      </c>
      <c r="BP62" s="211">
        <f t="shared" si="536"/>
        <v>100</v>
      </c>
      <c r="BQ62" s="211">
        <f t="shared" si="536"/>
        <v>4920</v>
      </c>
      <c r="BR62" s="211">
        <f t="shared" si="536"/>
        <v>500</v>
      </c>
      <c r="BS62" s="427">
        <v>59</v>
      </c>
      <c r="BT62" s="211">
        <f t="shared" ref="BT62:CC62" si="537">BT61+AD62</f>
        <v>2000</v>
      </c>
      <c r="BU62" s="211">
        <f t="shared" si="537"/>
        <v>200</v>
      </c>
      <c r="BV62" s="211">
        <f t="shared" si="537"/>
        <v>8069</v>
      </c>
      <c r="BW62" s="211">
        <f t="shared" si="537"/>
        <v>808</v>
      </c>
      <c r="BX62" s="211">
        <f t="shared" si="537"/>
        <v>40345</v>
      </c>
      <c r="BY62" s="211">
        <f t="shared" si="537"/>
        <v>4040</v>
      </c>
      <c r="BZ62" s="211">
        <f t="shared" si="537"/>
        <v>1718</v>
      </c>
      <c r="CA62" s="211">
        <f t="shared" si="537"/>
        <v>149</v>
      </c>
      <c r="CB62" s="211">
        <f t="shared" si="537"/>
        <v>8590</v>
      </c>
      <c r="CC62" s="211">
        <f t="shared" si="537"/>
        <v>745</v>
      </c>
      <c r="CD62" s="427">
        <v>59</v>
      </c>
      <c r="CE62" s="211">
        <f t="shared" ref="CE62:CN62" si="538">CE61+AN62</f>
        <v>2000</v>
      </c>
      <c r="CF62" s="211">
        <f t="shared" si="538"/>
        <v>200</v>
      </c>
      <c r="CG62" s="211">
        <f t="shared" si="538"/>
        <v>10000</v>
      </c>
      <c r="CH62" s="211">
        <f t="shared" si="538"/>
        <v>1000</v>
      </c>
      <c r="CI62" s="211">
        <f t="shared" si="538"/>
        <v>50000</v>
      </c>
      <c r="CJ62" s="211">
        <f t="shared" si="538"/>
        <v>5000</v>
      </c>
      <c r="CK62" s="211">
        <f t="shared" si="538"/>
        <v>2000</v>
      </c>
      <c r="CL62" s="211">
        <f t="shared" si="538"/>
        <v>200</v>
      </c>
      <c r="CM62" s="211">
        <f t="shared" si="538"/>
        <v>10000</v>
      </c>
      <c r="CN62" s="211">
        <f t="shared" si="538"/>
        <v>1000</v>
      </c>
      <c r="CO62" s="427">
        <v>59</v>
      </c>
      <c r="CP62" s="211">
        <f t="shared" ref="CP62:CY62" si="539">CP61+AX62</f>
        <v>2000</v>
      </c>
      <c r="CQ62" s="211">
        <f t="shared" si="539"/>
        <v>200</v>
      </c>
      <c r="CR62" s="211">
        <f t="shared" si="539"/>
        <v>10000</v>
      </c>
      <c r="CS62" s="211">
        <f t="shared" si="539"/>
        <v>1000</v>
      </c>
      <c r="CT62" s="211">
        <f t="shared" si="539"/>
        <v>50000</v>
      </c>
      <c r="CU62" s="211">
        <f t="shared" si="539"/>
        <v>5000</v>
      </c>
      <c r="CV62" s="211">
        <f t="shared" si="539"/>
        <v>2000</v>
      </c>
      <c r="CW62" s="211">
        <f t="shared" si="539"/>
        <v>200</v>
      </c>
      <c r="CX62" s="211">
        <f t="shared" si="539"/>
        <v>10000</v>
      </c>
      <c r="CY62" s="211">
        <f t="shared" si="539"/>
        <v>1000</v>
      </c>
      <c r="CZ62" s="421">
        <v>59</v>
      </c>
      <c r="DA62" s="24">
        <v>800000</v>
      </c>
      <c r="DB62" s="211">
        <f t="shared" si="13"/>
        <v>9413600</v>
      </c>
      <c r="DC62" s="211"/>
      <c r="DD62" s="211">
        <f t="shared" si="14"/>
        <v>800</v>
      </c>
      <c r="DE62" s="211"/>
      <c r="DF62" s="211"/>
      <c r="DG62" s="211"/>
      <c r="DH62" s="308">
        <v>59</v>
      </c>
      <c r="DI62" s="309">
        <v>135000</v>
      </c>
      <c r="DJ62" s="310">
        <v>270000</v>
      </c>
      <c r="DK62" s="311">
        <v>540000</v>
      </c>
      <c r="DL62" s="308">
        <v>59</v>
      </c>
      <c r="DM62" s="309">
        <v>270000</v>
      </c>
      <c r="DN62" s="310">
        <v>405000</v>
      </c>
      <c r="DO62" s="311">
        <v>810000</v>
      </c>
      <c r="DP62" s="312">
        <v>59</v>
      </c>
      <c r="DQ62" s="310">
        <v>540000</v>
      </c>
      <c r="DR62" s="311">
        <v>1080000</v>
      </c>
      <c r="DS62" s="308">
        <v>59</v>
      </c>
      <c r="DT62" s="211">
        <f t="shared" ref="DT62:DV62" si="540">DI62+DT61</f>
        <v>3518500</v>
      </c>
      <c r="DU62" s="211">
        <f t="shared" si="540"/>
        <v>7037000</v>
      </c>
      <c r="DV62" s="211">
        <f t="shared" si="540"/>
        <v>14074000</v>
      </c>
      <c r="DW62" s="211">
        <f t="shared" ref="DW62:DY62" si="541">DM62+DW61</f>
        <v>7037000</v>
      </c>
      <c r="DX62" s="211">
        <f t="shared" si="541"/>
        <v>10555500</v>
      </c>
      <c r="DY62" s="211">
        <f t="shared" si="541"/>
        <v>21111000</v>
      </c>
      <c r="DZ62" s="211">
        <v>0</v>
      </c>
      <c r="EA62" s="211">
        <f t="shared" ref="EA62:EB62" si="542">DQ62+EA61</f>
        <v>14074000</v>
      </c>
      <c r="EB62" s="211">
        <f t="shared" si="542"/>
        <v>28148000</v>
      </c>
      <c r="EC62" s="182">
        <v>59</v>
      </c>
      <c r="ED62" s="211"/>
      <c r="EE62" s="211">
        <f t="shared" si="18"/>
        <v>10</v>
      </c>
      <c r="EF62" s="211"/>
      <c r="EG62" s="211"/>
      <c r="EH62" s="211"/>
      <c r="EI62" s="211"/>
      <c r="EJ62" s="211"/>
      <c r="EK62" s="211"/>
      <c r="EL62" s="211"/>
      <c r="EM62" s="211"/>
      <c r="EN62" s="211"/>
    </row>
    <row r="63" spans="1:144" ht="15.75" customHeight="1" x14ac:dyDescent="0.2">
      <c r="A63" s="421">
        <v>60</v>
      </c>
      <c r="B63" s="211">
        <v>500</v>
      </c>
      <c r="C63" s="211">
        <f t="shared" si="4"/>
        <v>13250</v>
      </c>
      <c r="M63" s="8"/>
      <c r="N63" s="8"/>
      <c r="O63" s="8"/>
      <c r="P63" s="8"/>
      <c r="Q63" s="8"/>
      <c r="R63" s="439"/>
      <c r="S63" s="456">
        <v>60</v>
      </c>
      <c r="T63" s="457"/>
      <c r="U63" s="458"/>
      <c r="V63" s="458"/>
      <c r="W63" s="458"/>
      <c r="X63" s="458"/>
      <c r="Y63" s="458"/>
      <c r="Z63" s="458"/>
      <c r="AA63" s="458"/>
      <c r="AB63" s="458"/>
      <c r="AC63" s="459"/>
      <c r="AD63" s="457"/>
      <c r="AE63" s="458"/>
      <c r="AF63" s="458"/>
      <c r="AG63" s="458"/>
      <c r="AH63" s="458"/>
      <c r="AI63" s="458"/>
      <c r="AJ63" s="458"/>
      <c r="AK63" s="458"/>
      <c r="AL63" s="458"/>
      <c r="AM63" s="45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460">
        <v>60</v>
      </c>
      <c r="BI63" s="211">
        <f t="shared" ref="BI63:BR63" si="543">BI62+T63</f>
        <v>1500</v>
      </c>
      <c r="BJ63" s="211">
        <f t="shared" si="543"/>
        <v>150</v>
      </c>
      <c r="BK63" s="211">
        <f t="shared" si="543"/>
        <v>6000</v>
      </c>
      <c r="BL63" s="211">
        <f t="shared" si="543"/>
        <v>600</v>
      </c>
      <c r="BM63" s="211">
        <f t="shared" si="543"/>
        <v>30000</v>
      </c>
      <c r="BN63" s="211">
        <f t="shared" si="543"/>
        <v>3000</v>
      </c>
      <c r="BO63" s="211">
        <f t="shared" si="543"/>
        <v>984</v>
      </c>
      <c r="BP63" s="211">
        <f t="shared" si="543"/>
        <v>100</v>
      </c>
      <c r="BQ63" s="211">
        <f t="shared" si="543"/>
        <v>4920</v>
      </c>
      <c r="BR63" s="211">
        <f t="shared" si="543"/>
        <v>500</v>
      </c>
      <c r="BS63" s="460">
        <v>60</v>
      </c>
      <c r="BT63" s="211">
        <f t="shared" ref="BT63:CC63" si="544">BT62+AD63</f>
        <v>2000</v>
      </c>
      <c r="BU63" s="211">
        <f t="shared" si="544"/>
        <v>200</v>
      </c>
      <c r="BV63" s="211">
        <f t="shared" si="544"/>
        <v>8069</v>
      </c>
      <c r="BW63" s="211">
        <f t="shared" si="544"/>
        <v>808</v>
      </c>
      <c r="BX63" s="211">
        <f t="shared" si="544"/>
        <v>40345</v>
      </c>
      <c r="BY63" s="211">
        <f t="shared" si="544"/>
        <v>4040</v>
      </c>
      <c r="BZ63" s="211">
        <f t="shared" si="544"/>
        <v>1718</v>
      </c>
      <c r="CA63" s="211">
        <f t="shared" si="544"/>
        <v>149</v>
      </c>
      <c r="CB63" s="211">
        <f t="shared" si="544"/>
        <v>8590</v>
      </c>
      <c r="CC63" s="211">
        <f t="shared" si="544"/>
        <v>745</v>
      </c>
      <c r="CD63" s="460">
        <v>60</v>
      </c>
      <c r="CE63" s="211">
        <f t="shared" ref="CE63:CN63" si="545">CE62+AN63</f>
        <v>2000</v>
      </c>
      <c r="CF63" s="211">
        <f t="shared" si="545"/>
        <v>200</v>
      </c>
      <c r="CG63" s="211">
        <f t="shared" si="545"/>
        <v>10000</v>
      </c>
      <c r="CH63" s="211">
        <f t="shared" si="545"/>
        <v>1000</v>
      </c>
      <c r="CI63" s="211">
        <f t="shared" si="545"/>
        <v>50000</v>
      </c>
      <c r="CJ63" s="211">
        <f t="shared" si="545"/>
        <v>5000</v>
      </c>
      <c r="CK63" s="211">
        <f t="shared" si="545"/>
        <v>2000</v>
      </c>
      <c r="CL63" s="211">
        <f t="shared" si="545"/>
        <v>200</v>
      </c>
      <c r="CM63" s="211">
        <f t="shared" si="545"/>
        <v>10000</v>
      </c>
      <c r="CN63" s="211">
        <f t="shared" si="545"/>
        <v>1000</v>
      </c>
      <c r="CO63" s="460">
        <v>60</v>
      </c>
      <c r="CP63" s="211">
        <f t="shared" ref="CP63:CY63" si="546">CP62+AX63</f>
        <v>2000</v>
      </c>
      <c r="CQ63" s="211">
        <f t="shared" si="546"/>
        <v>200</v>
      </c>
      <c r="CR63" s="211">
        <f t="shared" si="546"/>
        <v>10000</v>
      </c>
      <c r="CS63" s="211">
        <f t="shared" si="546"/>
        <v>1000</v>
      </c>
      <c r="CT63" s="211">
        <f t="shared" si="546"/>
        <v>50000</v>
      </c>
      <c r="CU63" s="211">
        <f t="shared" si="546"/>
        <v>5000</v>
      </c>
      <c r="CV63" s="211">
        <f t="shared" si="546"/>
        <v>2000</v>
      </c>
      <c r="CW63" s="211">
        <f t="shared" si="546"/>
        <v>200</v>
      </c>
      <c r="CX63" s="211">
        <f t="shared" si="546"/>
        <v>10000</v>
      </c>
      <c r="CY63" s="211">
        <f t="shared" si="546"/>
        <v>1000</v>
      </c>
      <c r="CZ63" s="421">
        <v>60</v>
      </c>
      <c r="DA63" s="24">
        <v>1000000</v>
      </c>
      <c r="DB63" s="211">
        <f t="shared" si="13"/>
        <v>10413600</v>
      </c>
      <c r="DC63" s="211">
        <v>700</v>
      </c>
      <c r="DD63" s="211">
        <f t="shared" si="14"/>
        <v>1500</v>
      </c>
      <c r="DE63" s="211"/>
      <c r="DF63" s="211"/>
      <c r="DG63" s="211"/>
      <c r="DH63" s="313">
        <v>60</v>
      </c>
      <c r="DI63" s="314" t="s">
        <v>113</v>
      </c>
      <c r="DJ63" s="315" t="s">
        <v>113</v>
      </c>
      <c r="DK63" s="316" t="s">
        <v>113</v>
      </c>
      <c r="DL63" s="313">
        <v>60</v>
      </c>
      <c r="DM63" s="314" t="s">
        <v>113</v>
      </c>
      <c r="DN63" s="315" t="s">
        <v>113</v>
      </c>
      <c r="DO63" s="316" t="s">
        <v>113</v>
      </c>
      <c r="DP63" s="317">
        <v>60</v>
      </c>
      <c r="DQ63" s="315" t="s">
        <v>113</v>
      </c>
      <c r="DR63" s="316" t="s">
        <v>113</v>
      </c>
      <c r="DS63" s="313">
        <v>60</v>
      </c>
      <c r="DT63" s="211"/>
      <c r="DU63" s="211"/>
      <c r="DV63" s="211"/>
      <c r="DW63" s="314"/>
      <c r="DX63" s="315"/>
      <c r="DY63" s="316"/>
      <c r="DZ63" s="315"/>
      <c r="EA63" s="315"/>
      <c r="EB63" s="316"/>
      <c r="EC63" s="461">
        <v>60</v>
      </c>
      <c r="ED63" s="211"/>
      <c r="EE63" s="211"/>
      <c r="EF63" s="211"/>
      <c r="EG63" s="211"/>
      <c r="EH63" s="211"/>
      <c r="EI63" s="211"/>
      <c r="EJ63" s="211"/>
      <c r="EK63" s="211"/>
      <c r="EL63" s="211"/>
      <c r="EM63" s="211"/>
      <c r="EN63" s="211"/>
    </row>
    <row r="64" spans="1:144" ht="15.75" customHeight="1" x14ac:dyDescent="0.15">
      <c r="A64" s="421">
        <v>61</v>
      </c>
      <c r="B64" s="211">
        <v>510</v>
      </c>
      <c r="C64" s="211">
        <f t="shared" si="4"/>
        <v>13760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421">
        <v>61</v>
      </c>
      <c r="DA64" s="24">
        <v>1050000</v>
      </c>
      <c r="DB64" s="211">
        <f t="shared" si="13"/>
        <v>11463600</v>
      </c>
      <c r="DC64" s="211"/>
      <c r="DD64" s="211">
        <f t="shared" si="14"/>
        <v>1500</v>
      </c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ht="15.75" customHeight="1" x14ac:dyDescent="0.15">
      <c r="A65" s="421">
        <v>62</v>
      </c>
      <c r="B65" s="211">
        <v>520</v>
      </c>
      <c r="C65" s="211">
        <f t="shared" si="4"/>
        <v>14280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421">
        <v>62</v>
      </c>
      <c r="DA65" s="24">
        <v>1100000</v>
      </c>
      <c r="DB65" s="211">
        <f t="shared" si="13"/>
        <v>12563600</v>
      </c>
      <c r="DC65" s="211"/>
      <c r="DD65" s="211">
        <f t="shared" si="14"/>
        <v>1500</v>
      </c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ht="15.75" customHeight="1" x14ac:dyDescent="0.15">
      <c r="A66" s="421">
        <v>63</v>
      </c>
      <c r="B66" s="211">
        <v>530</v>
      </c>
      <c r="C66" s="211">
        <f t="shared" si="4"/>
        <v>14810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421">
        <v>63</v>
      </c>
      <c r="DA66" s="24">
        <v>1150000</v>
      </c>
      <c r="DB66" s="211">
        <f t="shared" si="13"/>
        <v>13713600</v>
      </c>
      <c r="DC66" s="211"/>
      <c r="DD66" s="211">
        <f t="shared" si="14"/>
        <v>1500</v>
      </c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ht="15.75" customHeight="1" x14ac:dyDescent="0.15">
      <c r="A67" s="421">
        <v>64</v>
      </c>
      <c r="B67" s="211">
        <v>540</v>
      </c>
      <c r="C67" s="211">
        <f t="shared" si="4"/>
        <v>15350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421">
        <v>64</v>
      </c>
      <c r="DA67" s="24">
        <v>1200000</v>
      </c>
      <c r="DB67" s="211">
        <f t="shared" si="13"/>
        <v>14913600</v>
      </c>
      <c r="DC67" s="211"/>
      <c r="DD67" s="211">
        <f t="shared" si="14"/>
        <v>1500</v>
      </c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ht="15.75" customHeight="1" x14ac:dyDescent="0.15">
      <c r="A68" s="421">
        <v>65</v>
      </c>
      <c r="B68" s="211">
        <v>550</v>
      </c>
      <c r="C68" s="211">
        <f t="shared" si="4"/>
        <v>15900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421">
        <v>65</v>
      </c>
      <c r="DA68" s="24">
        <v>1250000</v>
      </c>
      <c r="DB68" s="211">
        <f t="shared" si="13"/>
        <v>16163600</v>
      </c>
      <c r="DC68" s="211"/>
      <c r="DD68" s="211">
        <f t="shared" si="14"/>
        <v>1500</v>
      </c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ht="15.75" customHeight="1" x14ac:dyDescent="0.15">
      <c r="A69" s="421">
        <v>66</v>
      </c>
      <c r="B69" s="211">
        <v>560</v>
      </c>
      <c r="C69" s="211">
        <f t="shared" si="4"/>
        <v>16460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421">
        <v>66</v>
      </c>
      <c r="DA69" s="24">
        <v>1300000</v>
      </c>
      <c r="DB69" s="211">
        <f t="shared" si="13"/>
        <v>17463600</v>
      </c>
      <c r="DC69" s="211"/>
      <c r="DD69" s="211">
        <f t="shared" si="14"/>
        <v>1500</v>
      </c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ht="15.75" customHeight="1" x14ac:dyDescent="0.15">
      <c r="A70" s="421">
        <v>67</v>
      </c>
      <c r="B70" s="211">
        <v>570</v>
      </c>
      <c r="C70" s="211">
        <f t="shared" si="4"/>
        <v>17030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421">
        <v>67</v>
      </c>
      <c r="DA70" s="24">
        <v>1350000</v>
      </c>
      <c r="DB70" s="211">
        <f t="shared" si="13"/>
        <v>18813600</v>
      </c>
      <c r="DC70" s="211"/>
      <c r="DD70" s="211">
        <f t="shared" si="14"/>
        <v>1500</v>
      </c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ht="15.75" customHeight="1" x14ac:dyDescent="0.15">
      <c r="A71" s="421">
        <v>68</v>
      </c>
      <c r="B71" s="211">
        <v>580</v>
      </c>
      <c r="C71" s="211">
        <f t="shared" si="4"/>
        <v>17610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421">
        <v>68</v>
      </c>
      <c r="DA71" s="24">
        <v>1400000</v>
      </c>
      <c r="DB71" s="211">
        <f t="shared" si="13"/>
        <v>20213600</v>
      </c>
      <c r="DC71" s="211"/>
      <c r="DD71" s="211">
        <f t="shared" si="14"/>
        <v>1500</v>
      </c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ht="15.75" customHeight="1" x14ac:dyDescent="0.15">
      <c r="A72" s="421">
        <v>69</v>
      </c>
      <c r="B72" s="211">
        <v>590</v>
      </c>
      <c r="C72" s="211">
        <f t="shared" si="4"/>
        <v>18200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421">
        <v>69</v>
      </c>
      <c r="DA72" s="24">
        <v>1450000</v>
      </c>
      <c r="DB72" s="211">
        <f t="shared" si="13"/>
        <v>21663600</v>
      </c>
      <c r="DC72" s="211"/>
      <c r="DD72" s="211">
        <f t="shared" si="14"/>
        <v>1500</v>
      </c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ht="15.75" customHeight="1" x14ac:dyDescent="0.15">
      <c r="A73" s="421">
        <v>70</v>
      </c>
      <c r="B73" s="211">
        <v>600</v>
      </c>
      <c r="C73" s="211">
        <f t="shared" si="4"/>
        <v>18800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421">
        <v>70</v>
      </c>
      <c r="DA73" s="24">
        <v>1500000</v>
      </c>
      <c r="DB73" s="211">
        <f t="shared" si="13"/>
        <v>23163600</v>
      </c>
      <c r="DC73" s="211"/>
      <c r="DD73" s="211">
        <f t="shared" si="14"/>
        <v>1500</v>
      </c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ht="15.75" customHeight="1" x14ac:dyDescent="0.15">
      <c r="A74" s="421">
        <v>71</v>
      </c>
      <c r="B74" s="211">
        <v>610</v>
      </c>
      <c r="C74" s="211">
        <f t="shared" si="4"/>
        <v>19410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421">
        <v>71</v>
      </c>
      <c r="DA74" s="24">
        <v>1550000</v>
      </c>
      <c r="DB74" s="211">
        <f t="shared" si="13"/>
        <v>24713600</v>
      </c>
      <c r="DC74" s="211"/>
      <c r="DD74" s="211">
        <f t="shared" si="14"/>
        <v>1500</v>
      </c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ht="15.75" customHeight="1" x14ac:dyDescent="0.15">
      <c r="A75" s="421">
        <v>72</v>
      </c>
      <c r="B75" s="211">
        <v>620</v>
      </c>
      <c r="C75" s="211">
        <f t="shared" si="4"/>
        <v>20030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421">
        <v>72</v>
      </c>
      <c r="DA75" s="24">
        <v>1600000</v>
      </c>
      <c r="DB75" s="211">
        <f t="shared" si="13"/>
        <v>26313600</v>
      </c>
      <c r="DC75" s="211"/>
      <c r="DD75" s="211">
        <f t="shared" si="14"/>
        <v>1500</v>
      </c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ht="15.75" customHeight="1" x14ac:dyDescent="0.15">
      <c r="A76" s="421">
        <v>73</v>
      </c>
      <c r="B76" s="211">
        <v>630</v>
      </c>
      <c r="C76" s="211">
        <f t="shared" si="4"/>
        <v>20660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421">
        <v>73</v>
      </c>
      <c r="DA76" s="24">
        <v>1650000</v>
      </c>
      <c r="DB76" s="211">
        <f t="shared" si="13"/>
        <v>27963600</v>
      </c>
      <c r="DC76" s="211"/>
      <c r="DD76" s="211">
        <f t="shared" si="14"/>
        <v>1500</v>
      </c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ht="15.75" customHeight="1" x14ac:dyDescent="0.15">
      <c r="A77" s="421">
        <v>74</v>
      </c>
      <c r="B77" s="211">
        <v>640</v>
      </c>
      <c r="C77" s="211">
        <f t="shared" si="4"/>
        <v>21300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421">
        <v>74</v>
      </c>
      <c r="DA77" s="24">
        <v>1700000</v>
      </c>
      <c r="DB77" s="211">
        <f t="shared" si="13"/>
        <v>29663600</v>
      </c>
      <c r="DC77" s="211"/>
      <c r="DD77" s="211">
        <f t="shared" si="14"/>
        <v>1500</v>
      </c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ht="15.75" customHeight="1" x14ac:dyDescent="0.15">
      <c r="A78" s="421">
        <v>75</v>
      </c>
      <c r="B78" s="211">
        <v>650</v>
      </c>
      <c r="C78" s="211">
        <f t="shared" si="4"/>
        <v>21950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421">
        <v>75</v>
      </c>
      <c r="DA78" s="24">
        <v>1750000</v>
      </c>
      <c r="DB78" s="211">
        <f t="shared" si="13"/>
        <v>31413600</v>
      </c>
      <c r="DC78" s="211"/>
      <c r="DD78" s="211">
        <f t="shared" si="14"/>
        <v>1500</v>
      </c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ht="15.75" customHeight="1" x14ac:dyDescent="0.15">
      <c r="A79" s="421">
        <v>76</v>
      </c>
      <c r="B79" s="211">
        <v>660</v>
      </c>
      <c r="C79" s="211">
        <f t="shared" si="4"/>
        <v>22610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421">
        <v>76</v>
      </c>
      <c r="DA79" s="24">
        <v>1800000</v>
      </c>
      <c r="DB79" s="211">
        <f t="shared" si="13"/>
        <v>33213600</v>
      </c>
      <c r="DC79" s="211"/>
      <c r="DD79" s="211">
        <f t="shared" si="14"/>
        <v>1500</v>
      </c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ht="15.75" customHeight="1" x14ac:dyDescent="0.15">
      <c r="A80" s="421">
        <v>77</v>
      </c>
      <c r="B80" s="211">
        <v>670</v>
      </c>
      <c r="C80" s="211">
        <f t="shared" si="4"/>
        <v>23280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421">
        <v>77</v>
      </c>
      <c r="DA80" s="24">
        <v>1850000</v>
      </c>
      <c r="DB80" s="211">
        <f t="shared" si="13"/>
        <v>35063600</v>
      </c>
      <c r="DC80" s="211"/>
      <c r="DD80" s="211">
        <f t="shared" si="14"/>
        <v>1500</v>
      </c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ht="15.75" customHeight="1" x14ac:dyDescent="0.15">
      <c r="A81" s="421">
        <v>78</v>
      </c>
      <c r="B81" s="211">
        <v>680</v>
      </c>
      <c r="C81" s="211">
        <f t="shared" si="4"/>
        <v>23960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421">
        <v>78</v>
      </c>
      <c r="DA81" s="24">
        <v>1900000</v>
      </c>
      <c r="DB81" s="211">
        <f t="shared" si="13"/>
        <v>36963600</v>
      </c>
      <c r="DC81" s="211"/>
      <c r="DD81" s="211">
        <f t="shared" si="14"/>
        <v>1500</v>
      </c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  <row r="82" spans="1:144" ht="15.75" customHeight="1" x14ac:dyDescent="0.15">
      <c r="A82" s="421">
        <v>79</v>
      </c>
      <c r="B82" s="211">
        <v>690</v>
      </c>
      <c r="C82" s="211">
        <f t="shared" si="4"/>
        <v>24650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421">
        <v>79</v>
      </c>
      <c r="DA82" s="24">
        <v>2000000</v>
      </c>
      <c r="DB82" s="211">
        <f t="shared" si="13"/>
        <v>38963600</v>
      </c>
      <c r="DC82" s="211"/>
      <c r="DD82" s="211">
        <f t="shared" si="14"/>
        <v>1500</v>
      </c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</row>
    <row r="83" spans="1:144" ht="15.75" customHeight="1" x14ac:dyDescent="0.15">
      <c r="A83" s="421">
        <v>80</v>
      </c>
      <c r="B83" s="211">
        <v>700</v>
      </c>
      <c r="C83" s="211">
        <f t="shared" si="4"/>
        <v>25350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421">
        <v>80</v>
      </c>
      <c r="DA83" s="24">
        <v>2100000</v>
      </c>
      <c r="DB83" s="211">
        <f t="shared" si="13"/>
        <v>41063600</v>
      </c>
      <c r="DC83" s="211">
        <v>800</v>
      </c>
      <c r="DD83" s="211">
        <f t="shared" si="14"/>
        <v>2300</v>
      </c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</row>
    <row r="84" spans="1:144" ht="15.75" customHeight="1" x14ac:dyDescent="0.15">
      <c r="A84" s="421">
        <v>81</v>
      </c>
      <c r="B84" s="211">
        <v>710</v>
      </c>
      <c r="C84" s="211">
        <f t="shared" si="4"/>
        <v>26060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421">
        <v>81</v>
      </c>
      <c r="DA84" s="24">
        <v>2200000</v>
      </c>
      <c r="DB84" s="211">
        <f t="shared" si="13"/>
        <v>43263600</v>
      </c>
      <c r="DC84" s="211"/>
      <c r="DD84" s="211">
        <f t="shared" si="14"/>
        <v>2300</v>
      </c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</row>
    <row r="85" spans="1:144" ht="15.75" customHeight="1" x14ac:dyDescent="0.15">
      <c r="A85" s="421">
        <v>82</v>
      </c>
      <c r="B85" s="211">
        <v>720</v>
      </c>
      <c r="C85" s="211">
        <f t="shared" si="4"/>
        <v>26780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421">
        <v>82</v>
      </c>
      <c r="DA85" s="24">
        <v>2300000</v>
      </c>
      <c r="DB85" s="211">
        <f t="shared" si="13"/>
        <v>45563600</v>
      </c>
      <c r="DC85" s="211"/>
      <c r="DD85" s="211">
        <f t="shared" si="14"/>
        <v>2300</v>
      </c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</row>
    <row r="86" spans="1:144" ht="15.75" customHeight="1" x14ac:dyDescent="0.15">
      <c r="A86" s="421">
        <v>83</v>
      </c>
      <c r="B86" s="211">
        <v>730</v>
      </c>
      <c r="C86" s="211">
        <f t="shared" si="4"/>
        <v>27510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421">
        <v>83</v>
      </c>
      <c r="DA86" s="24">
        <v>2400000</v>
      </c>
      <c r="DB86" s="211">
        <f t="shared" si="13"/>
        <v>47963600</v>
      </c>
      <c r="DC86" s="211"/>
      <c r="DD86" s="211">
        <f t="shared" si="14"/>
        <v>2300</v>
      </c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</row>
    <row r="87" spans="1:144" ht="15.75" customHeight="1" x14ac:dyDescent="0.15">
      <c r="A87" s="421">
        <v>84</v>
      </c>
      <c r="B87" s="211">
        <v>740</v>
      </c>
      <c r="C87" s="211">
        <f t="shared" si="4"/>
        <v>28250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421">
        <v>84</v>
      </c>
      <c r="DA87" s="24">
        <v>2500000</v>
      </c>
      <c r="DB87" s="211">
        <f t="shared" si="13"/>
        <v>50463600</v>
      </c>
      <c r="DC87" s="211"/>
      <c r="DD87" s="211">
        <f t="shared" si="14"/>
        <v>2300</v>
      </c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</row>
    <row r="88" spans="1:144" ht="15.75" customHeight="1" x14ac:dyDescent="0.15">
      <c r="A88" s="421">
        <v>85</v>
      </c>
      <c r="B88" s="211">
        <v>750</v>
      </c>
      <c r="C88" s="211">
        <f t="shared" si="4"/>
        <v>29000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421">
        <v>85</v>
      </c>
      <c r="DA88" s="24">
        <v>2600000</v>
      </c>
      <c r="DB88" s="211">
        <f t="shared" si="13"/>
        <v>53063600</v>
      </c>
      <c r="DC88" s="211">
        <v>800</v>
      </c>
      <c r="DD88" s="211">
        <f t="shared" si="14"/>
        <v>3100</v>
      </c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</row>
    <row r="89" spans="1:144" ht="15.75" customHeight="1" x14ac:dyDescent="0.15">
      <c r="A89" s="421">
        <v>86</v>
      </c>
      <c r="B89" s="211">
        <v>760</v>
      </c>
      <c r="C89" s="211">
        <f t="shared" si="4"/>
        <v>29760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421">
        <v>86</v>
      </c>
      <c r="DA89" s="24">
        <v>2700000</v>
      </c>
      <c r="DB89" s="211">
        <f t="shared" si="13"/>
        <v>55763600</v>
      </c>
      <c r="DC89" s="211"/>
      <c r="DD89" s="211">
        <f t="shared" si="14"/>
        <v>3100</v>
      </c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</row>
    <row r="90" spans="1:144" ht="15.75" customHeight="1" x14ac:dyDescent="0.15">
      <c r="A90" s="421">
        <v>87</v>
      </c>
      <c r="B90" s="211">
        <v>770</v>
      </c>
      <c r="C90" s="211">
        <f t="shared" si="4"/>
        <v>30530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421">
        <v>87</v>
      </c>
      <c r="DA90" s="24">
        <v>2800000</v>
      </c>
      <c r="DB90" s="211">
        <f t="shared" si="13"/>
        <v>58563600</v>
      </c>
      <c r="DC90" s="211"/>
      <c r="DD90" s="211">
        <f t="shared" si="14"/>
        <v>3100</v>
      </c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</row>
    <row r="91" spans="1:144" ht="15.75" customHeight="1" x14ac:dyDescent="0.15">
      <c r="A91" s="421">
        <v>88</v>
      </c>
      <c r="B91" s="211">
        <v>780</v>
      </c>
      <c r="C91" s="211">
        <f t="shared" si="4"/>
        <v>31310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421">
        <v>88</v>
      </c>
      <c r="DA91" s="24">
        <v>2900000</v>
      </c>
      <c r="DB91" s="211">
        <f t="shared" si="13"/>
        <v>61463600</v>
      </c>
      <c r="DC91" s="211"/>
      <c r="DD91" s="211">
        <f t="shared" si="14"/>
        <v>3100</v>
      </c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</row>
    <row r="92" spans="1:144" ht="15.75" customHeight="1" x14ac:dyDescent="0.15">
      <c r="A92" s="421">
        <v>89</v>
      </c>
      <c r="B92" s="211">
        <v>790</v>
      </c>
      <c r="C92" s="211">
        <f t="shared" si="4"/>
        <v>32100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421">
        <v>89</v>
      </c>
      <c r="DA92" s="24">
        <v>3000000</v>
      </c>
      <c r="DB92" s="211">
        <f t="shared" si="13"/>
        <v>64463600</v>
      </c>
      <c r="DC92" s="211"/>
      <c r="DD92" s="211">
        <f t="shared" si="14"/>
        <v>3100</v>
      </c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</row>
    <row r="93" spans="1:144" ht="15.75" customHeight="1" x14ac:dyDescent="0.15">
      <c r="A93" s="421">
        <v>90</v>
      </c>
      <c r="B93" s="211">
        <v>800</v>
      </c>
      <c r="C93" s="211">
        <f t="shared" si="4"/>
        <v>32900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421">
        <v>90</v>
      </c>
      <c r="DA93" s="24">
        <v>3100000</v>
      </c>
      <c r="DB93" s="211">
        <f t="shared" si="13"/>
        <v>67563600</v>
      </c>
      <c r="DC93" s="211">
        <v>800</v>
      </c>
      <c r="DD93" s="211">
        <f t="shared" si="14"/>
        <v>3900</v>
      </c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</row>
    <row r="94" spans="1:144" ht="15.75" customHeight="1" x14ac:dyDescent="0.15">
      <c r="A94" s="421">
        <v>91</v>
      </c>
      <c r="B94" s="211">
        <v>810</v>
      </c>
      <c r="C94" s="211">
        <f t="shared" si="4"/>
        <v>33710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421">
        <v>91</v>
      </c>
      <c r="DA94" s="24">
        <v>3200000</v>
      </c>
      <c r="DB94" s="211">
        <f t="shared" si="13"/>
        <v>70763600</v>
      </c>
      <c r="DC94" s="211"/>
      <c r="DD94" s="211">
        <f t="shared" si="14"/>
        <v>3900</v>
      </c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</row>
    <row r="95" spans="1:144" ht="15.75" customHeight="1" x14ac:dyDescent="0.15">
      <c r="A95" s="421">
        <v>92</v>
      </c>
      <c r="B95" s="211">
        <v>820</v>
      </c>
      <c r="C95" s="211">
        <f t="shared" si="4"/>
        <v>34530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421">
        <v>92</v>
      </c>
      <c r="DA95" s="24">
        <v>3300000</v>
      </c>
      <c r="DB95" s="211">
        <f t="shared" si="13"/>
        <v>74063600</v>
      </c>
      <c r="DC95" s="211"/>
      <c r="DD95" s="211">
        <f t="shared" si="14"/>
        <v>3900</v>
      </c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</row>
    <row r="96" spans="1:144" ht="15.75" customHeight="1" x14ac:dyDescent="0.15">
      <c r="A96" s="421">
        <v>93</v>
      </c>
      <c r="B96" s="211">
        <v>830</v>
      </c>
      <c r="C96" s="211">
        <f t="shared" si="4"/>
        <v>35360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421">
        <v>93</v>
      </c>
      <c r="DA96" s="24">
        <v>3400000</v>
      </c>
      <c r="DB96" s="211">
        <f t="shared" si="13"/>
        <v>77463600</v>
      </c>
      <c r="DC96" s="211"/>
      <c r="DD96" s="211">
        <f t="shared" si="14"/>
        <v>3900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</row>
    <row r="97" spans="1:144" ht="15.75" customHeight="1" x14ac:dyDescent="0.15">
      <c r="A97" s="421">
        <v>94</v>
      </c>
      <c r="B97" s="211">
        <v>840</v>
      </c>
      <c r="C97" s="211">
        <f t="shared" si="4"/>
        <v>36200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421">
        <v>94</v>
      </c>
      <c r="DA97" s="24">
        <v>3500000</v>
      </c>
      <c r="DB97" s="211">
        <f t="shared" si="13"/>
        <v>80963600</v>
      </c>
      <c r="DC97" s="211"/>
      <c r="DD97" s="211">
        <f t="shared" si="14"/>
        <v>3900</v>
      </c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</row>
    <row r="98" spans="1:144" ht="15.75" customHeight="1" x14ac:dyDescent="0.15">
      <c r="A98" s="421">
        <v>95</v>
      </c>
      <c r="B98" s="211">
        <v>850</v>
      </c>
      <c r="C98" s="211">
        <f t="shared" si="4"/>
        <v>37050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421">
        <v>95</v>
      </c>
      <c r="DA98" s="24">
        <v>3600000</v>
      </c>
      <c r="DB98" s="211">
        <f t="shared" si="13"/>
        <v>84563600</v>
      </c>
      <c r="DC98" s="211">
        <v>800</v>
      </c>
      <c r="DD98" s="211">
        <f t="shared" si="14"/>
        <v>4700</v>
      </c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</row>
    <row r="99" spans="1:144" ht="15.75" customHeight="1" x14ac:dyDescent="0.15">
      <c r="A99" s="421">
        <v>96</v>
      </c>
      <c r="B99" s="211">
        <v>860</v>
      </c>
      <c r="C99" s="211">
        <f t="shared" si="4"/>
        <v>37910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421">
        <v>96</v>
      </c>
      <c r="DA99" s="24">
        <v>3700000</v>
      </c>
      <c r="DB99" s="211">
        <f t="shared" si="13"/>
        <v>88263600</v>
      </c>
      <c r="DC99" s="211"/>
      <c r="DD99" s="211">
        <f t="shared" si="14"/>
        <v>4700</v>
      </c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</row>
    <row r="100" spans="1:144" ht="15.75" customHeight="1" x14ac:dyDescent="0.15">
      <c r="A100" s="421">
        <v>97</v>
      </c>
      <c r="B100" s="211">
        <v>870</v>
      </c>
      <c r="C100" s="211">
        <f t="shared" si="4"/>
        <v>38780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421">
        <v>97</v>
      </c>
      <c r="DA100" s="24">
        <v>3800000</v>
      </c>
      <c r="DB100" s="211">
        <f t="shared" si="13"/>
        <v>92063600</v>
      </c>
      <c r="DC100" s="211"/>
      <c r="DD100" s="211">
        <f t="shared" si="14"/>
        <v>4700</v>
      </c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</row>
    <row r="101" spans="1:144" ht="15.75" customHeight="1" x14ac:dyDescent="0.15">
      <c r="A101" s="421">
        <v>98</v>
      </c>
      <c r="B101" s="211">
        <v>880</v>
      </c>
      <c r="C101" s="211">
        <f t="shared" si="4"/>
        <v>39660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421">
        <v>98</v>
      </c>
      <c r="DA101" s="24">
        <v>3900000</v>
      </c>
      <c r="DB101" s="211">
        <f t="shared" si="13"/>
        <v>95963600</v>
      </c>
      <c r="DC101" s="211"/>
      <c r="DD101" s="211">
        <f t="shared" si="14"/>
        <v>4700</v>
      </c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</row>
    <row r="102" spans="1:144" ht="15.75" customHeight="1" x14ac:dyDescent="0.15">
      <c r="A102" s="421">
        <v>99</v>
      </c>
      <c r="B102" s="211">
        <v>890</v>
      </c>
      <c r="C102" s="211">
        <f t="shared" si="4"/>
        <v>40550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421">
        <v>99</v>
      </c>
      <c r="DA102" s="24">
        <v>4000000</v>
      </c>
      <c r="DB102" s="211">
        <f t="shared" si="13"/>
        <v>99963600</v>
      </c>
      <c r="DC102" s="211"/>
      <c r="DD102" s="211">
        <f t="shared" si="14"/>
        <v>4700</v>
      </c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</row>
    <row r="103" spans="1:144" ht="15.75" customHeight="1" x14ac:dyDescent="0.15">
      <c r="A103" s="421">
        <v>100</v>
      </c>
      <c r="B103" s="211">
        <v>900</v>
      </c>
      <c r="C103" s="211">
        <f t="shared" si="4"/>
        <v>41450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421">
        <v>100</v>
      </c>
      <c r="DA103" s="24">
        <v>4100000</v>
      </c>
      <c r="DB103" s="211">
        <f t="shared" si="13"/>
        <v>104063600</v>
      </c>
      <c r="DC103" s="211">
        <v>1200</v>
      </c>
      <c r="DD103" s="211">
        <f t="shared" si="14"/>
        <v>5900</v>
      </c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</row>
    <row r="104" spans="1:144" ht="15.75" customHeight="1" x14ac:dyDescent="0.15">
      <c r="A104" s="421">
        <v>101</v>
      </c>
      <c r="B104" s="211">
        <v>910</v>
      </c>
      <c r="C104" s="211">
        <f t="shared" si="4"/>
        <v>42360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421">
        <v>101</v>
      </c>
      <c r="DA104" s="24">
        <v>4200000</v>
      </c>
      <c r="DB104" s="211">
        <f t="shared" si="13"/>
        <v>108263600</v>
      </c>
      <c r="DC104" s="211"/>
      <c r="DD104" s="211">
        <f t="shared" si="14"/>
        <v>5900</v>
      </c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</row>
    <row r="105" spans="1:144" ht="15.75" customHeight="1" x14ac:dyDescent="0.15">
      <c r="A105" s="421">
        <v>102</v>
      </c>
      <c r="B105" s="211">
        <v>920</v>
      </c>
      <c r="C105" s="211">
        <f t="shared" si="4"/>
        <v>43280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421">
        <v>102</v>
      </c>
      <c r="DA105" s="24">
        <v>4300000</v>
      </c>
      <c r="DB105" s="211">
        <f t="shared" si="13"/>
        <v>112563600</v>
      </c>
      <c r="DC105" s="211"/>
      <c r="DD105" s="211">
        <f t="shared" si="14"/>
        <v>5900</v>
      </c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</row>
    <row r="106" spans="1:144" ht="15.75" customHeight="1" x14ac:dyDescent="0.15">
      <c r="A106" s="421">
        <v>103</v>
      </c>
      <c r="B106" s="211">
        <v>930</v>
      </c>
      <c r="C106" s="211">
        <f t="shared" si="4"/>
        <v>44210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421">
        <v>103</v>
      </c>
      <c r="DA106" s="24">
        <v>4400000</v>
      </c>
      <c r="DB106" s="211">
        <f t="shared" si="13"/>
        <v>116963600</v>
      </c>
      <c r="DC106" s="211"/>
      <c r="DD106" s="211">
        <f t="shared" si="14"/>
        <v>5900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</row>
    <row r="107" spans="1:144" ht="15.75" customHeight="1" x14ac:dyDescent="0.15">
      <c r="A107" s="421">
        <v>104</v>
      </c>
      <c r="B107" s="211">
        <v>940</v>
      </c>
      <c r="C107" s="211">
        <f t="shared" si="4"/>
        <v>45150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421">
        <v>104</v>
      </c>
      <c r="DA107" s="24">
        <v>4500000</v>
      </c>
      <c r="DB107" s="211">
        <f t="shared" si="13"/>
        <v>121463600</v>
      </c>
      <c r="DC107" s="211"/>
      <c r="DD107" s="211">
        <f t="shared" si="14"/>
        <v>5900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</row>
    <row r="108" spans="1:144" ht="15.75" customHeight="1" x14ac:dyDescent="0.15">
      <c r="A108" s="421">
        <v>105</v>
      </c>
      <c r="B108" s="211">
        <v>950</v>
      </c>
      <c r="C108" s="211">
        <f t="shared" si="4"/>
        <v>46100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421">
        <v>105</v>
      </c>
      <c r="DA108" s="24">
        <v>4600000</v>
      </c>
      <c r="DB108" s="211">
        <f t="shared" si="13"/>
        <v>126063600</v>
      </c>
      <c r="DC108" s="211">
        <v>1200</v>
      </c>
      <c r="DD108" s="211">
        <f t="shared" si="14"/>
        <v>7100</v>
      </c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</row>
    <row r="109" spans="1:144" ht="15.75" customHeight="1" x14ac:dyDescent="0.15">
      <c r="A109" s="421">
        <v>106</v>
      </c>
      <c r="B109" s="211">
        <v>960</v>
      </c>
      <c r="C109" s="211">
        <f t="shared" si="4"/>
        <v>47060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421">
        <v>106</v>
      </c>
      <c r="DA109" s="24">
        <v>4700000</v>
      </c>
      <c r="DB109" s="211">
        <f t="shared" si="13"/>
        <v>130763600</v>
      </c>
      <c r="DC109" s="211"/>
      <c r="DD109" s="211">
        <f t="shared" si="14"/>
        <v>7100</v>
      </c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15.75" customHeight="1" x14ac:dyDescent="0.15">
      <c r="A110" s="421">
        <v>107</v>
      </c>
      <c r="B110" s="211">
        <v>970</v>
      </c>
      <c r="C110" s="211">
        <f t="shared" si="4"/>
        <v>48030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421">
        <v>107</v>
      </c>
      <c r="DA110" s="24">
        <v>4800000</v>
      </c>
      <c r="DB110" s="211">
        <f t="shared" si="13"/>
        <v>135563600</v>
      </c>
      <c r="DC110" s="211"/>
      <c r="DD110" s="211">
        <f t="shared" si="14"/>
        <v>7100</v>
      </c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15.75" customHeight="1" x14ac:dyDescent="0.15">
      <c r="A111" s="421">
        <v>108</v>
      </c>
      <c r="B111" s="211">
        <v>980</v>
      </c>
      <c r="C111" s="211">
        <f t="shared" si="4"/>
        <v>49010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421">
        <v>108</v>
      </c>
      <c r="DA111" s="24">
        <v>4900000</v>
      </c>
      <c r="DB111" s="211">
        <f t="shared" si="13"/>
        <v>140463600</v>
      </c>
      <c r="DC111" s="211"/>
      <c r="DD111" s="211">
        <f t="shared" si="14"/>
        <v>7100</v>
      </c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15.75" customHeight="1" x14ac:dyDescent="0.15">
      <c r="A112" s="421">
        <v>109</v>
      </c>
      <c r="B112" s="211">
        <v>990</v>
      </c>
      <c r="C112" s="211">
        <f t="shared" si="4"/>
        <v>50000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421">
        <v>109</v>
      </c>
      <c r="DA112" s="24">
        <v>5000000</v>
      </c>
      <c r="DB112" s="211">
        <f t="shared" si="13"/>
        <v>145463600</v>
      </c>
      <c r="DC112" s="211"/>
      <c r="DD112" s="211">
        <f t="shared" si="14"/>
        <v>7100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15.75" customHeight="1" x14ac:dyDescent="0.15">
      <c r="A113" s="421">
        <v>110</v>
      </c>
      <c r="B113" s="211">
        <v>1000</v>
      </c>
      <c r="C113" s="211">
        <f t="shared" si="4"/>
        <v>51000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421">
        <v>110</v>
      </c>
      <c r="DA113" s="24">
        <v>5100000</v>
      </c>
      <c r="DB113" s="211">
        <f t="shared" si="13"/>
        <v>150563600</v>
      </c>
      <c r="DC113" s="69">
        <v>1200</v>
      </c>
      <c r="DD113" s="211">
        <f t="shared" si="14"/>
        <v>8300</v>
      </c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15.75" customHeight="1" x14ac:dyDescent="0.15">
      <c r="A114" s="421">
        <v>111</v>
      </c>
      <c r="B114" s="211">
        <v>1010</v>
      </c>
      <c r="C114" s="211">
        <f t="shared" si="4"/>
        <v>52010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421">
        <v>111</v>
      </c>
      <c r="DA114" s="24">
        <v>5200000</v>
      </c>
      <c r="DB114" s="211">
        <f t="shared" si="13"/>
        <v>155763600</v>
      </c>
      <c r="DC114" s="55"/>
      <c r="DD114" s="211">
        <f t="shared" si="14"/>
        <v>8300</v>
      </c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15.75" customHeight="1" x14ac:dyDescent="0.15">
      <c r="A115" s="421">
        <v>112</v>
      </c>
      <c r="B115" s="211">
        <v>1020</v>
      </c>
      <c r="C115" s="211">
        <f t="shared" si="4"/>
        <v>53030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421">
        <v>112</v>
      </c>
      <c r="DA115" s="24">
        <v>5300000</v>
      </c>
      <c r="DB115" s="211">
        <f t="shared" si="13"/>
        <v>161063600</v>
      </c>
      <c r="DC115" s="55"/>
      <c r="DD115" s="211">
        <f t="shared" si="14"/>
        <v>8300</v>
      </c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</row>
    <row r="116" spans="1:144" ht="15.75" customHeight="1" x14ac:dyDescent="0.15">
      <c r="A116" s="421">
        <v>113</v>
      </c>
      <c r="B116" s="211">
        <v>1030</v>
      </c>
      <c r="C116" s="211">
        <f t="shared" si="4"/>
        <v>54060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421">
        <v>113</v>
      </c>
      <c r="DA116" s="24">
        <v>5400000</v>
      </c>
      <c r="DB116" s="211">
        <f t="shared" si="13"/>
        <v>166463600</v>
      </c>
      <c r="DC116" s="55"/>
      <c r="DD116" s="211">
        <f t="shared" si="14"/>
        <v>8300</v>
      </c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</row>
    <row r="117" spans="1:144" ht="15.75" customHeight="1" x14ac:dyDescent="0.15">
      <c r="A117" s="421">
        <v>114</v>
      </c>
      <c r="B117" s="211">
        <v>1040</v>
      </c>
      <c r="C117" s="211">
        <f t="shared" si="4"/>
        <v>55100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421">
        <v>114</v>
      </c>
      <c r="DA117" s="24">
        <v>5500000</v>
      </c>
      <c r="DB117" s="211">
        <f t="shared" si="13"/>
        <v>171963600</v>
      </c>
      <c r="DC117" s="55"/>
      <c r="DD117" s="211">
        <f t="shared" si="14"/>
        <v>8300</v>
      </c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</row>
    <row r="118" spans="1:144" ht="15.75" customHeight="1" x14ac:dyDescent="0.15">
      <c r="A118" s="421">
        <v>115</v>
      </c>
      <c r="B118" s="211">
        <v>1050</v>
      </c>
      <c r="C118" s="211">
        <f t="shared" si="4"/>
        <v>56150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421">
        <v>115</v>
      </c>
      <c r="DA118" s="24">
        <v>5600000</v>
      </c>
      <c r="DB118" s="211">
        <f t="shared" si="13"/>
        <v>177563600</v>
      </c>
      <c r="DC118" s="69">
        <v>1200</v>
      </c>
      <c r="DD118" s="211">
        <f t="shared" si="14"/>
        <v>9500</v>
      </c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</row>
    <row r="119" spans="1:144" ht="15.75" customHeight="1" x14ac:dyDescent="0.15">
      <c r="A119" s="421">
        <v>116</v>
      </c>
      <c r="B119" s="211">
        <v>1060</v>
      </c>
      <c r="C119" s="211">
        <f t="shared" si="4"/>
        <v>57210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421">
        <v>116</v>
      </c>
      <c r="DA119" s="24">
        <v>5700000</v>
      </c>
      <c r="DB119" s="211">
        <f t="shared" si="13"/>
        <v>183263600</v>
      </c>
      <c r="DC119" s="55"/>
      <c r="DD119" s="211">
        <f t="shared" si="14"/>
        <v>9500</v>
      </c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</row>
    <row r="120" spans="1:144" ht="15.75" customHeight="1" x14ac:dyDescent="0.15">
      <c r="A120" s="421">
        <v>117</v>
      </c>
      <c r="B120" s="211">
        <v>1070</v>
      </c>
      <c r="C120" s="211">
        <f t="shared" si="4"/>
        <v>58280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421">
        <v>117</v>
      </c>
      <c r="DA120" s="24">
        <v>5800000</v>
      </c>
      <c r="DB120" s="211">
        <f t="shared" si="13"/>
        <v>189063600</v>
      </c>
      <c r="DC120" s="55"/>
      <c r="DD120" s="211">
        <f t="shared" si="14"/>
        <v>9500</v>
      </c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</row>
    <row r="121" spans="1:144" ht="15.75" customHeight="1" x14ac:dyDescent="0.15">
      <c r="A121" s="421">
        <v>118</v>
      </c>
      <c r="B121" s="211">
        <v>1080</v>
      </c>
      <c r="C121" s="211">
        <f t="shared" si="4"/>
        <v>59360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421">
        <v>118</v>
      </c>
      <c r="DA121" s="24">
        <v>5900000</v>
      </c>
      <c r="DB121" s="211">
        <f t="shared" si="13"/>
        <v>194963600</v>
      </c>
      <c r="DC121" s="55"/>
      <c r="DD121" s="211">
        <f t="shared" si="14"/>
        <v>9500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</row>
    <row r="122" spans="1:144" ht="15.75" customHeight="1" x14ac:dyDescent="0.15">
      <c r="A122" s="421">
        <v>119</v>
      </c>
      <c r="B122" s="211">
        <v>1090</v>
      </c>
      <c r="C122" s="211">
        <f t="shared" si="4"/>
        <v>60450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421">
        <v>119</v>
      </c>
      <c r="DA122" s="24">
        <v>6000000</v>
      </c>
      <c r="DB122" s="211">
        <f t="shared" si="13"/>
        <v>200963600</v>
      </c>
      <c r="DC122" s="55"/>
      <c r="DD122" s="211">
        <f t="shared" si="14"/>
        <v>9500</v>
      </c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</row>
    <row r="123" spans="1:144" ht="15.75" customHeight="1" x14ac:dyDescent="0.15">
      <c r="A123" s="421">
        <v>120</v>
      </c>
      <c r="B123" s="211">
        <v>1100</v>
      </c>
      <c r="C123" s="211">
        <f t="shared" si="4"/>
        <v>61550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421">
        <v>120</v>
      </c>
      <c r="DA123" s="24">
        <v>6100000</v>
      </c>
      <c r="DB123" s="211">
        <f t="shared" si="13"/>
        <v>207063600</v>
      </c>
      <c r="DC123" s="69">
        <v>1600</v>
      </c>
      <c r="DD123" s="211">
        <f t="shared" si="14"/>
        <v>11100</v>
      </c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</row>
    <row r="124" spans="1:144" ht="15.75" customHeight="1" x14ac:dyDescent="0.15">
      <c r="A124" s="421">
        <v>121</v>
      </c>
      <c r="B124" s="211">
        <v>1110</v>
      </c>
      <c r="C124" s="211">
        <f t="shared" si="4"/>
        <v>62660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421">
        <v>121</v>
      </c>
      <c r="DA124" s="24">
        <v>6200000</v>
      </c>
      <c r="DB124" s="211">
        <f t="shared" si="13"/>
        <v>213263600</v>
      </c>
      <c r="DC124" s="211"/>
      <c r="DD124" s="211">
        <f t="shared" si="14"/>
        <v>11100</v>
      </c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</row>
    <row r="125" spans="1:144" ht="15.75" customHeight="1" x14ac:dyDescent="0.15">
      <c r="A125" s="421">
        <v>122</v>
      </c>
      <c r="B125" s="211">
        <v>1120</v>
      </c>
      <c r="C125" s="211">
        <f t="shared" si="4"/>
        <v>63780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421">
        <v>122</v>
      </c>
      <c r="DA125" s="24">
        <v>6300000</v>
      </c>
      <c r="DB125" s="211">
        <f t="shared" si="13"/>
        <v>219563600</v>
      </c>
      <c r="DC125" s="211"/>
      <c r="DD125" s="211">
        <f t="shared" si="14"/>
        <v>11100</v>
      </c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</row>
    <row r="126" spans="1:144" ht="15.75" customHeight="1" x14ac:dyDescent="0.15">
      <c r="A126" s="421">
        <v>123</v>
      </c>
      <c r="B126" s="211">
        <v>1130</v>
      </c>
      <c r="C126" s="211">
        <f t="shared" si="4"/>
        <v>64910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421">
        <v>123</v>
      </c>
      <c r="DA126" s="24">
        <v>6400000</v>
      </c>
      <c r="DB126" s="211">
        <f t="shared" si="13"/>
        <v>225963600</v>
      </c>
      <c r="DC126" s="211"/>
      <c r="DD126" s="211">
        <f t="shared" si="14"/>
        <v>11100</v>
      </c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</row>
    <row r="127" spans="1:144" ht="15.75" customHeight="1" x14ac:dyDescent="0.15">
      <c r="A127" s="421">
        <v>124</v>
      </c>
      <c r="B127" s="211">
        <v>1140</v>
      </c>
      <c r="C127" s="211">
        <f t="shared" si="4"/>
        <v>66050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421">
        <v>124</v>
      </c>
      <c r="DA127" s="24">
        <v>6500000</v>
      </c>
      <c r="DB127" s="211">
        <f t="shared" si="13"/>
        <v>232463600</v>
      </c>
      <c r="DC127" s="211"/>
      <c r="DD127" s="211">
        <f t="shared" si="14"/>
        <v>11100</v>
      </c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</row>
    <row r="128" spans="1:144" ht="15.75" customHeight="1" x14ac:dyDescent="0.15">
      <c r="A128" s="421">
        <v>125</v>
      </c>
      <c r="B128" s="211">
        <v>1150</v>
      </c>
      <c r="C128" s="211">
        <f t="shared" si="4"/>
        <v>67200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421">
        <v>125</v>
      </c>
      <c r="DA128" s="24">
        <v>6600000</v>
      </c>
      <c r="DB128" s="211">
        <f t="shared" si="13"/>
        <v>239063600</v>
      </c>
      <c r="DC128" s="69">
        <v>1600</v>
      </c>
      <c r="DD128" s="211">
        <f t="shared" si="14"/>
        <v>12700</v>
      </c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</row>
    <row r="129" spans="1:144" ht="15.75" customHeight="1" x14ac:dyDescent="0.15">
      <c r="A129" s="421">
        <v>126</v>
      </c>
      <c r="B129" s="211">
        <v>1160</v>
      </c>
      <c r="C129" s="211">
        <f t="shared" si="4"/>
        <v>68360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421">
        <v>126</v>
      </c>
      <c r="DA129" s="24">
        <v>6700000</v>
      </c>
      <c r="DB129" s="211">
        <f t="shared" si="13"/>
        <v>245763600</v>
      </c>
      <c r="DC129" s="211"/>
      <c r="DD129" s="211">
        <f t="shared" si="14"/>
        <v>12700</v>
      </c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</row>
    <row r="130" spans="1:144" ht="15.75" customHeight="1" x14ac:dyDescent="0.15">
      <c r="A130" s="421">
        <v>127</v>
      </c>
      <c r="B130" s="211">
        <v>1170</v>
      </c>
      <c r="C130" s="211">
        <f t="shared" si="4"/>
        <v>69530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421">
        <v>127</v>
      </c>
      <c r="DA130" s="24">
        <v>6800000</v>
      </c>
      <c r="DB130" s="211">
        <f t="shared" si="13"/>
        <v>252563600</v>
      </c>
      <c r="DC130" s="211"/>
      <c r="DD130" s="211">
        <f t="shared" si="14"/>
        <v>12700</v>
      </c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</row>
    <row r="131" spans="1:144" ht="15.75" customHeight="1" x14ac:dyDescent="0.15">
      <c r="A131" s="421">
        <v>128</v>
      </c>
      <c r="B131" s="211">
        <v>1180</v>
      </c>
      <c r="C131" s="211">
        <f t="shared" si="4"/>
        <v>70710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421">
        <v>128</v>
      </c>
      <c r="DA131" s="24">
        <v>6900000</v>
      </c>
      <c r="DB131" s="211">
        <f t="shared" si="13"/>
        <v>259463600</v>
      </c>
      <c r="DC131" s="211"/>
      <c r="DD131" s="211">
        <f t="shared" si="14"/>
        <v>12700</v>
      </c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</row>
    <row r="132" spans="1:144" ht="15.75" customHeight="1" x14ac:dyDescent="0.15">
      <c r="A132" s="421">
        <v>129</v>
      </c>
      <c r="B132" s="211">
        <v>1190</v>
      </c>
      <c r="C132" s="211">
        <f t="shared" si="4"/>
        <v>71900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421">
        <v>129</v>
      </c>
      <c r="DA132" s="24">
        <v>7000000</v>
      </c>
      <c r="DB132" s="211">
        <f t="shared" si="13"/>
        <v>266463600</v>
      </c>
      <c r="DC132" s="211"/>
      <c r="DD132" s="211">
        <f t="shared" si="14"/>
        <v>12700</v>
      </c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</row>
    <row r="133" spans="1:144" ht="15.75" customHeight="1" x14ac:dyDescent="0.15">
      <c r="A133" s="421">
        <v>130</v>
      </c>
      <c r="B133" s="211">
        <v>1200</v>
      </c>
      <c r="C133" s="211">
        <f t="shared" si="4"/>
        <v>73100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421">
        <v>130</v>
      </c>
      <c r="DA133" s="24">
        <v>7100000</v>
      </c>
      <c r="DB133" s="211">
        <f t="shared" si="13"/>
        <v>273563600</v>
      </c>
      <c r="DC133" s="69">
        <v>1600</v>
      </c>
      <c r="DD133" s="211">
        <f t="shared" si="14"/>
        <v>14300</v>
      </c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</row>
    <row r="134" spans="1:144" ht="15.75" customHeight="1" x14ac:dyDescent="0.15">
      <c r="A134" s="421">
        <v>131</v>
      </c>
      <c r="B134" s="211">
        <v>1210</v>
      </c>
      <c r="C134" s="211">
        <f t="shared" si="4"/>
        <v>74310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421">
        <v>131</v>
      </c>
      <c r="DA134" s="24">
        <v>7200000</v>
      </c>
      <c r="DB134" s="211">
        <f t="shared" si="13"/>
        <v>280763600</v>
      </c>
      <c r="DC134" s="55"/>
      <c r="DD134" s="211">
        <f t="shared" si="14"/>
        <v>14300</v>
      </c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</row>
    <row r="135" spans="1:144" ht="15.75" customHeight="1" x14ac:dyDescent="0.15">
      <c r="A135" s="421">
        <v>132</v>
      </c>
      <c r="B135" s="211">
        <v>1220</v>
      </c>
      <c r="C135" s="211">
        <f t="shared" si="4"/>
        <v>75530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421">
        <v>132</v>
      </c>
      <c r="DA135" s="24">
        <v>7300000</v>
      </c>
      <c r="DB135" s="211">
        <f t="shared" si="13"/>
        <v>288063600</v>
      </c>
      <c r="DC135" s="55"/>
      <c r="DD135" s="211">
        <f t="shared" si="14"/>
        <v>14300</v>
      </c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</row>
    <row r="136" spans="1:144" ht="15.75" customHeight="1" x14ac:dyDescent="0.15">
      <c r="A136" s="421">
        <v>133</v>
      </c>
      <c r="B136" s="211">
        <v>1230</v>
      </c>
      <c r="C136" s="211">
        <f t="shared" si="4"/>
        <v>76760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421">
        <v>133</v>
      </c>
      <c r="DA136" s="24">
        <v>7400000</v>
      </c>
      <c r="DB136" s="211">
        <f t="shared" si="13"/>
        <v>295463600</v>
      </c>
      <c r="DC136" s="55"/>
      <c r="DD136" s="211">
        <f t="shared" si="14"/>
        <v>14300</v>
      </c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</row>
    <row r="137" spans="1:144" ht="15.75" customHeight="1" x14ac:dyDescent="0.15">
      <c r="A137" s="421">
        <v>134</v>
      </c>
      <c r="B137" s="211">
        <v>1240</v>
      </c>
      <c r="C137" s="211">
        <f t="shared" si="4"/>
        <v>78000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421">
        <v>134</v>
      </c>
      <c r="DA137" s="24">
        <v>7500000</v>
      </c>
      <c r="DB137" s="211">
        <f t="shared" si="13"/>
        <v>302963600</v>
      </c>
      <c r="DC137" s="55"/>
      <c r="DD137" s="211">
        <f t="shared" si="14"/>
        <v>14300</v>
      </c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</row>
    <row r="138" spans="1:144" ht="15.75" customHeight="1" x14ac:dyDescent="0.15">
      <c r="A138" s="421">
        <v>135</v>
      </c>
      <c r="B138" s="211">
        <v>1250</v>
      </c>
      <c r="C138" s="211">
        <f t="shared" si="4"/>
        <v>79250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421">
        <v>135</v>
      </c>
      <c r="DA138" s="24">
        <v>7600000</v>
      </c>
      <c r="DB138" s="211">
        <f t="shared" si="13"/>
        <v>310563600</v>
      </c>
      <c r="DC138" s="69">
        <v>1600</v>
      </c>
      <c r="DD138" s="211">
        <f t="shared" si="14"/>
        <v>15900</v>
      </c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</row>
    <row r="139" spans="1:144" ht="15.75" customHeight="1" x14ac:dyDescent="0.15">
      <c r="A139" s="421">
        <v>136</v>
      </c>
      <c r="B139" s="211">
        <v>1260</v>
      </c>
      <c r="C139" s="211">
        <f t="shared" si="4"/>
        <v>80510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421">
        <v>136</v>
      </c>
      <c r="DA139" s="24">
        <v>7700000</v>
      </c>
      <c r="DB139" s="211">
        <f t="shared" si="13"/>
        <v>318263600</v>
      </c>
      <c r="DC139" s="211"/>
      <c r="DD139" s="211">
        <f t="shared" si="14"/>
        <v>15900</v>
      </c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</row>
    <row r="140" spans="1:144" ht="15.75" customHeight="1" x14ac:dyDescent="0.15">
      <c r="A140" s="421">
        <v>137</v>
      </c>
      <c r="B140" s="211">
        <v>1270</v>
      </c>
      <c r="C140" s="211">
        <f t="shared" si="4"/>
        <v>81780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421">
        <v>137</v>
      </c>
      <c r="DA140" s="24">
        <v>7800000</v>
      </c>
      <c r="DB140" s="211">
        <f t="shared" si="13"/>
        <v>326063600</v>
      </c>
      <c r="DC140" s="211"/>
      <c r="DD140" s="211">
        <f t="shared" si="14"/>
        <v>15900</v>
      </c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</row>
    <row r="141" spans="1:144" ht="15.75" customHeight="1" x14ac:dyDescent="0.15">
      <c r="A141" s="421">
        <v>138</v>
      </c>
      <c r="B141" s="211">
        <v>1280</v>
      </c>
      <c r="C141" s="211">
        <f t="shared" si="4"/>
        <v>83060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421">
        <v>138</v>
      </c>
      <c r="DA141" s="24">
        <v>7900000</v>
      </c>
      <c r="DB141" s="211">
        <f t="shared" si="13"/>
        <v>333963600</v>
      </c>
      <c r="DC141" s="211"/>
      <c r="DD141" s="211">
        <f t="shared" si="14"/>
        <v>15900</v>
      </c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</row>
    <row r="142" spans="1:144" ht="15.75" customHeight="1" x14ac:dyDescent="0.15">
      <c r="A142" s="421">
        <v>139</v>
      </c>
      <c r="B142" s="211">
        <v>1290</v>
      </c>
      <c r="C142" s="211">
        <f t="shared" si="4"/>
        <v>84350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421">
        <v>139</v>
      </c>
      <c r="DA142" s="24">
        <v>8000000</v>
      </c>
      <c r="DB142" s="211">
        <f t="shared" si="13"/>
        <v>341963600</v>
      </c>
      <c r="DC142" s="211"/>
      <c r="DD142" s="211">
        <f t="shared" si="14"/>
        <v>15900</v>
      </c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</row>
    <row r="143" spans="1:144" ht="15.75" customHeight="1" x14ac:dyDescent="0.15">
      <c r="A143" s="421">
        <v>140</v>
      </c>
      <c r="B143" s="211">
        <v>1300</v>
      </c>
      <c r="C143" s="211">
        <f t="shared" si="4"/>
        <v>85650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421">
        <v>140</v>
      </c>
      <c r="DA143" s="24" t="s">
        <v>113</v>
      </c>
      <c r="DB143" s="211"/>
      <c r="DC143" s="211"/>
      <c r="DD143" s="211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</row>
    <row r="144" spans="1:144" ht="15.75" customHeight="1" x14ac:dyDescent="0.15">
      <c r="A144" s="421">
        <v>141</v>
      </c>
      <c r="B144" s="211">
        <v>1310</v>
      </c>
      <c r="C144" s="211">
        <f t="shared" si="4"/>
        <v>86960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</row>
    <row r="145" spans="1:144" ht="15.75" customHeight="1" x14ac:dyDescent="0.15">
      <c r="A145" s="421">
        <v>142</v>
      </c>
      <c r="B145" s="211">
        <v>1320</v>
      </c>
      <c r="C145" s="211">
        <f t="shared" si="4"/>
        <v>88280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</row>
    <row r="146" spans="1:144" ht="15.75" customHeight="1" x14ac:dyDescent="0.15">
      <c r="A146" s="421">
        <v>143</v>
      </c>
      <c r="B146" s="211">
        <v>1330</v>
      </c>
      <c r="C146" s="211">
        <f t="shared" si="4"/>
        <v>89610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</row>
    <row r="147" spans="1:144" ht="15.75" customHeight="1" x14ac:dyDescent="0.15">
      <c r="A147" s="421">
        <v>144</v>
      </c>
      <c r="B147" s="211">
        <v>1340</v>
      </c>
      <c r="C147" s="211">
        <f t="shared" si="4"/>
        <v>90950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</row>
    <row r="148" spans="1:144" ht="15.75" customHeight="1" x14ac:dyDescent="0.15">
      <c r="A148" s="421">
        <v>145</v>
      </c>
      <c r="B148" s="211">
        <v>1350</v>
      </c>
      <c r="C148" s="211">
        <f t="shared" si="4"/>
        <v>92300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</row>
    <row r="149" spans="1:144" ht="15.75" customHeight="1" x14ac:dyDescent="0.15">
      <c r="A149" s="421">
        <v>146</v>
      </c>
      <c r="B149" s="211">
        <v>1360</v>
      </c>
      <c r="C149" s="211">
        <f t="shared" si="4"/>
        <v>93660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</row>
    <row r="150" spans="1:144" ht="15.75" customHeight="1" x14ac:dyDescent="0.15">
      <c r="A150" s="421">
        <v>147</v>
      </c>
      <c r="B150" s="211">
        <v>1370</v>
      </c>
      <c r="C150" s="211">
        <f t="shared" si="4"/>
        <v>95030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</row>
    <row r="151" spans="1:144" ht="15.75" customHeight="1" x14ac:dyDescent="0.15">
      <c r="A151" s="421">
        <v>148</v>
      </c>
      <c r="B151" s="211">
        <v>1380</v>
      </c>
      <c r="C151" s="211">
        <f t="shared" si="4"/>
        <v>96410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</row>
    <row r="152" spans="1:144" ht="15.75" customHeight="1" x14ac:dyDescent="0.15">
      <c r="A152" s="421">
        <v>149</v>
      </c>
      <c r="B152" s="211">
        <v>1390</v>
      </c>
      <c r="C152" s="211">
        <f t="shared" si="4"/>
        <v>97800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</row>
    <row r="153" spans="1:144" ht="15.75" customHeight="1" x14ac:dyDescent="0.15">
      <c r="A153" s="421">
        <v>150</v>
      </c>
      <c r="B153" s="211">
        <v>1400</v>
      </c>
      <c r="C153" s="211">
        <f t="shared" si="4"/>
        <v>99200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</row>
    <row r="154" spans="1:144" ht="15.75" customHeight="1" x14ac:dyDescent="0.15">
      <c r="A154" s="421">
        <v>151</v>
      </c>
      <c r="B154" s="211">
        <v>1410</v>
      </c>
      <c r="C154" s="211">
        <f t="shared" si="4"/>
        <v>100610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</row>
    <row r="155" spans="1:144" ht="15.75" customHeight="1" x14ac:dyDescent="0.15">
      <c r="A155" s="421">
        <v>152</v>
      </c>
      <c r="B155" s="211">
        <v>1420</v>
      </c>
      <c r="C155" s="211">
        <f t="shared" si="4"/>
        <v>102030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</row>
    <row r="156" spans="1:144" ht="15.75" customHeight="1" x14ac:dyDescent="0.15">
      <c r="A156" s="421">
        <v>153</v>
      </c>
      <c r="B156" s="211">
        <v>1430</v>
      </c>
      <c r="C156" s="211">
        <f t="shared" si="4"/>
        <v>103460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</row>
    <row r="157" spans="1:144" ht="15.75" customHeight="1" x14ac:dyDescent="0.15">
      <c r="A157" s="421">
        <v>154</v>
      </c>
      <c r="B157" s="211">
        <v>1440</v>
      </c>
      <c r="C157" s="211">
        <f t="shared" si="4"/>
        <v>104900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</row>
    <row r="158" spans="1:144" ht="15.75" customHeight="1" x14ac:dyDescent="0.15">
      <c r="A158" s="421">
        <v>155</v>
      </c>
      <c r="B158" s="211">
        <v>1450</v>
      </c>
      <c r="C158" s="211">
        <f t="shared" si="4"/>
        <v>106350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</row>
    <row r="159" spans="1:144" ht="15.75" customHeight="1" x14ac:dyDescent="0.15">
      <c r="A159" s="421">
        <v>156</v>
      </c>
      <c r="B159" s="211">
        <v>1460</v>
      </c>
      <c r="C159" s="211">
        <f t="shared" si="4"/>
        <v>107810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</row>
    <row r="160" spans="1:144" ht="15.75" customHeight="1" x14ac:dyDescent="0.15">
      <c r="A160" s="421">
        <v>157</v>
      </c>
      <c r="B160" s="211">
        <v>1470</v>
      </c>
      <c r="C160" s="211">
        <f t="shared" si="4"/>
        <v>109280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</row>
    <row r="161" spans="1:144" ht="15.75" customHeight="1" x14ac:dyDescent="0.15">
      <c r="A161" s="421">
        <v>158</v>
      </c>
      <c r="B161" s="211">
        <v>1480</v>
      </c>
      <c r="C161" s="211">
        <f t="shared" si="4"/>
        <v>110760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</row>
    <row r="162" spans="1:144" ht="15.75" customHeight="1" x14ac:dyDescent="0.15">
      <c r="A162" s="421">
        <v>159</v>
      </c>
      <c r="B162" s="211">
        <v>1490</v>
      </c>
      <c r="C162" s="211">
        <f t="shared" si="4"/>
        <v>112250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</row>
    <row r="163" spans="1:144" ht="15.75" customHeight="1" x14ac:dyDescent="0.15">
      <c r="A163" s="421">
        <v>160</v>
      </c>
      <c r="B163" s="211">
        <v>1500</v>
      </c>
      <c r="C163" s="211">
        <f t="shared" si="4"/>
        <v>113750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</row>
    <row r="164" spans="1:144" ht="15.75" customHeight="1" x14ac:dyDescent="0.15">
      <c r="A164" s="421">
        <v>161</v>
      </c>
      <c r="B164" s="211">
        <v>1510</v>
      </c>
      <c r="C164" s="211">
        <f t="shared" si="4"/>
        <v>115260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</row>
    <row r="165" spans="1:144" ht="15.75" customHeight="1" x14ac:dyDescent="0.15">
      <c r="A165" s="421">
        <v>162</v>
      </c>
      <c r="B165" s="211">
        <v>1520</v>
      </c>
      <c r="C165" s="211">
        <f t="shared" si="4"/>
        <v>116780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</row>
    <row r="166" spans="1:144" ht="15.75" customHeight="1" x14ac:dyDescent="0.15">
      <c r="A166" s="421">
        <v>163</v>
      </c>
      <c r="B166" s="211">
        <v>1530</v>
      </c>
      <c r="C166" s="211">
        <f t="shared" si="4"/>
        <v>118310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</row>
    <row r="167" spans="1:144" ht="15.75" customHeight="1" x14ac:dyDescent="0.15">
      <c r="A167" s="421">
        <v>164</v>
      </c>
      <c r="B167" s="211">
        <v>1540</v>
      </c>
      <c r="C167" s="211">
        <f t="shared" si="4"/>
        <v>119850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</row>
    <row r="168" spans="1:144" ht="15.75" customHeight="1" x14ac:dyDescent="0.15">
      <c r="A168" s="421">
        <v>165</v>
      </c>
      <c r="B168" s="211">
        <v>1550</v>
      </c>
      <c r="C168" s="211">
        <f t="shared" si="4"/>
        <v>121400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</row>
    <row r="169" spans="1:144" ht="15.75" customHeight="1" x14ac:dyDescent="0.15">
      <c r="A169" s="421">
        <v>166</v>
      </c>
      <c r="B169" s="211">
        <v>1560</v>
      </c>
      <c r="C169" s="211">
        <f t="shared" si="4"/>
        <v>122960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</row>
    <row r="170" spans="1:144" ht="15.75" customHeight="1" x14ac:dyDescent="0.15">
      <c r="A170" s="421">
        <v>167</v>
      </c>
      <c r="B170" s="211">
        <v>1570</v>
      </c>
      <c r="C170" s="211">
        <f t="shared" si="4"/>
        <v>124530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</row>
    <row r="171" spans="1:144" ht="15.75" customHeight="1" x14ac:dyDescent="0.15">
      <c r="A171" s="421">
        <v>168</v>
      </c>
      <c r="B171" s="211">
        <v>1580</v>
      </c>
      <c r="C171" s="211">
        <f t="shared" si="4"/>
        <v>126110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</row>
    <row r="172" spans="1:144" ht="15.75" customHeight="1" x14ac:dyDescent="0.15">
      <c r="A172" s="421">
        <v>169</v>
      </c>
      <c r="B172" s="211">
        <v>1590</v>
      </c>
      <c r="C172" s="211">
        <f t="shared" si="4"/>
        <v>127700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</row>
    <row r="173" spans="1:144" ht="15.75" customHeight="1" x14ac:dyDescent="0.15">
      <c r="A173" s="421">
        <v>170</v>
      </c>
      <c r="B173" s="211">
        <v>1600</v>
      </c>
      <c r="C173" s="211">
        <f t="shared" si="4"/>
        <v>129300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</row>
    <row r="174" spans="1:144" ht="15.75" customHeight="1" x14ac:dyDescent="0.15">
      <c r="A174" s="421">
        <v>171</v>
      </c>
      <c r="B174" s="211">
        <v>1610</v>
      </c>
      <c r="C174" s="211">
        <f t="shared" si="4"/>
        <v>130910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</row>
    <row r="175" spans="1:144" ht="15.75" customHeight="1" x14ac:dyDescent="0.15">
      <c r="A175" s="421">
        <v>172</v>
      </c>
      <c r="B175" s="211">
        <v>1620</v>
      </c>
      <c r="C175" s="211">
        <f t="shared" si="4"/>
        <v>132530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</row>
    <row r="176" spans="1:144" ht="15.75" customHeight="1" x14ac:dyDescent="0.15">
      <c r="A176" s="421">
        <v>173</v>
      </c>
      <c r="B176" s="211">
        <v>1630</v>
      </c>
      <c r="C176" s="211">
        <f t="shared" si="4"/>
        <v>134160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</row>
    <row r="177" spans="1:144" ht="15.75" customHeight="1" x14ac:dyDescent="0.15">
      <c r="A177" s="421">
        <v>174</v>
      </c>
      <c r="B177" s="211">
        <v>1640</v>
      </c>
      <c r="C177" s="211">
        <f t="shared" si="4"/>
        <v>135800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</row>
    <row r="178" spans="1:144" ht="15.75" customHeight="1" x14ac:dyDescent="0.15">
      <c r="A178" s="421">
        <v>175</v>
      </c>
      <c r="B178" s="211">
        <v>1650</v>
      </c>
      <c r="C178" s="211">
        <f t="shared" si="4"/>
        <v>137450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</row>
    <row r="179" spans="1:144" ht="15.75" customHeight="1" x14ac:dyDescent="0.15">
      <c r="A179" s="421">
        <v>176</v>
      </c>
      <c r="B179" s="211">
        <v>1660</v>
      </c>
      <c r="C179" s="211">
        <f t="shared" si="4"/>
        <v>139110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</row>
    <row r="180" spans="1:144" ht="15.75" customHeight="1" x14ac:dyDescent="0.15">
      <c r="A180" s="421">
        <v>177</v>
      </c>
      <c r="B180" s="211">
        <v>1670</v>
      </c>
      <c r="C180" s="211">
        <f t="shared" si="4"/>
        <v>140780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</row>
    <row r="181" spans="1:144" ht="15.75" customHeight="1" x14ac:dyDescent="0.15">
      <c r="A181" s="421">
        <v>178</v>
      </c>
      <c r="B181" s="211">
        <v>1680</v>
      </c>
      <c r="C181" s="211">
        <f t="shared" si="4"/>
        <v>142460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</row>
    <row r="182" spans="1:144" ht="15.75" customHeight="1" x14ac:dyDescent="0.15">
      <c r="A182" s="421">
        <v>179</v>
      </c>
      <c r="B182" s="211">
        <v>1690</v>
      </c>
      <c r="C182" s="211">
        <f t="shared" si="4"/>
        <v>144150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</row>
    <row r="183" spans="1:144" ht="15.75" customHeight="1" x14ac:dyDescent="0.15">
      <c r="A183" s="421">
        <v>180</v>
      </c>
      <c r="B183" s="211">
        <v>1700</v>
      </c>
      <c r="C183" s="211">
        <f t="shared" si="4"/>
        <v>145850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</row>
    <row r="184" spans="1:144" ht="15.75" customHeight="1" x14ac:dyDescent="0.15">
      <c r="A184" s="421">
        <v>181</v>
      </c>
      <c r="B184" s="211">
        <v>1710</v>
      </c>
      <c r="C184" s="211">
        <f t="shared" si="4"/>
        <v>147560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</row>
    <row r="185" spans="1:144" ht="15.75" customHeight="1" x14ac:dyDescent="0.15">
      <c r="A185" s="421">
        <v>182</v>
      </c>
      <c r="B185" s="211">
        <v>1720</v>
      </c>
      <c r="C185" s="211">
        <f t="shared" si="4"/>
        <v>149280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</row>
    <row r="186" spans="1:144" ht="15.75" customHeight="1" x14ac:dyDescent="0.15">
      <c r="A186" s="421">
        <v>183</v>
      </c>
      <c r="B186" s="211">
        <v>1730</v>
      </c>
      <c r="C186" s="211">
        <f t="shared" si="4"/>
        <v>151010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</row>
    <row r="187" spans="1:144" ht="15.75" customHeight="1" x14ac:dyDescent="0.15">
      <c r="A187" s="421">
        <v>184</v>
      </c>
      <c r="B187" s="211">
        <v>1740</v>
      </c>
      <c r="C187" s="211">
        <f t="shared" si="4"/>
        <v>152750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</row>
    <row r="188" spans="1:144" ht="15.75" customHeight="1" x14ac:dyDescent="0.15">
      <c r="A188" s="421">
        <v>185</v>
      </c>
      <c r="B188" s="211">
        <v>1750</v>
      </c>
      <c r="C188" s="211">
        <f t="shared" si="4"/>
        <v>154500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</row>
    <row r="189" spans="1:144" ht="15.75" customHeight="1" x14ac:dyDescent="0.15">
      <c r="A189" s="421">
        <v>186</v>
      </c>
      <c r="B189" s="211">
        <v>1760</v>
      </c>
      <c r="C189" s="211">
        <f t="shared" si="4"/>
        <v>156260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</row>
    <row r="190" spans="1:144" ht="15.75" customHeight="1" x14ac:dyDescent="0.15">
      <c r="A190" s="421">
        <v>187</v>
      </c>
      <c r="B190" s="211">
        <v>1770</v>
      </c>
      <c r="C190" s="211">
        <f t="shared" si="4"/>
        <v>158030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</row>
    <row r="191" spans="1:144" ht="15.75" customHeight="1" x14ac:dyDescent="0.15">
      <c r="A191" s="421">
        <v>188</v>
      </c>
      <c r="B191" s="211">
        <v>1780</v>
      </c>
      <c r="C191" s="211">
        <f t="shared" si="4"/>
        <v>159810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</row>
    <row r="192" spans="1:144" ht="15.75" customHeight="1" x14ac:dyDescent="0.15">
      <c r="A192" s="421">
        <v>189</v>
      </c>
      <c r="B192" s="211">
        <v>1790</v>
      </c>
      <c r="C192" s="211">
        <f t="shared" si="4"/>
        <v>161600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</row>
    <row r="193" spans="1:144" ht="15.75" customHeight="1" x14ac:dyDescent="0.15">
      <c r="A193" s="421">
        <v>190</v>
      </c>
      <c r="B193" s="211">
        <v>1800</v>
      </c>
      <c r="C193" s="211">
        <f t="shared" si="4"/>
        <v>163400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</row>
    <row r="194" spans="1:144" ht="15.75" customHeight="1" x14ac:dyDescent="0.15">
      <c r="A194" s="421">
        <v>191</v>
      </c>
      <c r="B194" s="211">
        <v>1810</v>
      </c>
      <c r="C194" s="211">
        <f t="shared" si="4"/>
        <v>165210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</row>
    <row r="195" spans="1:144" ht="15.75" customHeight="1" x14ac:dyDescent="0.15">
      <c r="A195" s="421">
        <v>192</v>
      </c>
      <c r="B195" s="211">
        <v>1820</v>
      </c>
      <c r="C195" s="211">
        <f t="shared" si="4"/>
        <v>167030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</row>
    <row r="196" spans="1:144" ht="15.75" customHeight="1" x14ac:dyDescent="0.15">
      <c r="A196" s="421">
        <v>193</v>
      </c>
      <c r="B196" s="211">
        <v>1830</v>
      </c>
      <c r="C196" s="211">
        <f t="shared" si="4"/>
        <v>168860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</row>
    <row r="197" spans="1:144" ht="15.75" customHeight="1" x14ac:dyDescent="0.15">
      <c r="A197" s="421">
        <v>194</v>
      </c>
      <c r="B197" s="211">
        <v>1840</v>
      </c>
      <c r="C197" s="211">
        <f t="shared" si="4"/>
        <v>170700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</row>
    <row r="198" spans="1:144" ht="15.75" customHeight="1" x14ac:dyDescent="0.15">
      <c r="A198" s="421">
        <v>195</v>
      </c>
      <c r="B198" s="211">
        <v>1850</v>
      </c>
      <c r="C198" s="211">
        <f t="shared" si="4"/>
        <v>172550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</row>
    <row r="199" spans="1:144" ht="15.75" customHeight="1" x14ac:dyDescent="0.15">
      <c r="A199" s="421">
        <v>196</v>
      </c>
      <c r="B199" s="211">
        <v>1860</v>
      </c>
      <c r="C199" s="211">
        <f t="shared" si="4"/>
        <v>174410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</row>
    <row r="200" spans="1:144" ht="15.75" customHeight="1" x14ac:dyDescent="0.15">
      <c r="A200" s="421">
        <v>197</v>
      </c>
      <c r="B200" s="211">
        <v>1870</v>
      </c>
      <c r="C200" s="211">
        <f t="shared" si="4"/>
        <v>176280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</row>
    <row r="201" spans="1:144" ht="15.75" customHeight="1" x14ac:dyDescent="0.15">
      <c r="A201" s="421">
        <v>198</v>
      </c>
      <c r="B201" s="211">
        <v>1880</v>
      </c>
      <c r="C201" s="211">
        <f t="shared" si="4"/>
        <v>178160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</row>
    <row r="202" spans="1:144" ht="15.75" customHeight="1" x14ac:dyDescent="0.15">
      <c r="A202" s="421">
        <v>199</v>
      </c>
      <c r="B202" s="211">
        <v>1890</v>
      </c>
      <c r="C202" s="211">
        <f t="shared" si="4"/>
        <v>180050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</row>
    <row r="203" spans="1:144" ht="15.75" customHeight="1" x14ac:dyDescent="0.15">
      <c r="A203" s="421">
        <v>200</v>
      </c>
      <c r="B203" s="211">
        <v>1900</v>
      </c>
      <c r="C203" s="211">
        <f t="shared" si="4"/>
        <v>181950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</row>
    <row r="204" spans="1:144" ht="15.75" customHeight="1" x14ac:dyDescent="0.15">
      <c r="A204" s="421">
        <v>201</v>
      </c>
      <c r="B204" s="211">
        <v>1910</v>
      </c>
      <c r="C204" s="211">
        <f t="shared" si="4"/>
        <v>183860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</row>
    <row r="205" spans="1:144" ht="15.75" customHeight="1" x14ac:dyDescent="0.15">
      <c r="A205" s="421">
        <v>202</v>
      </c>
      <c r="B205" s="211">
        <v>1920</v>
      </c>
      <c r="C205" s="211">
        <f t="shared" si="4"/>
        <v>185780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</row>
    <row r="206" spans="1:144" ht="15.75" customHeight="1" x14ac:dyDescent="0.15">
      <c r="A206" s="421">
        <v>203</v>
      </c>
      <c r="B206" s="211">
        <v>1930</v>
      </c>
      <c r="C206" s="211">
        <f t="shared" si="4"/>
        <v>187710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</row>
    <row r="207" spans="1:144" ht="15.75" customHeight="1" x14ac:dyDescent="0.15">
      <c r="A207" s="421">
        <v>204</v>
      </c>
      <c r="B207" s="211">
        <v>1940</v>
      </c>
      <c r="C207" s="211">
        <f t="shared" si="4"/>
        <v>189650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</row>
    <row r="208" spans="1:144" ht="15.75" customHeight="1" x14ac:dyDescent="0.15">
      <c r="A208" s="421">
        <v>205</v>
      </c>
      <c r="B208" s="211">
        <v>1950</v>
      </c>
      <c r="C208" s="211">
        <f t="shared" si="4"/>
        <v>191600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</row>
    <row r="209" spans="1:144" ht="15.75" customHeight="1" x14ac:dyDescent="0.15">
      <c r="A209" s="421">
        <v>206</v>
      </c>
      <c r="B209" s="211">
        <v>1960</v>
      </c>
      <c r="C209" s="211">
        <f t="shared" si="4"/>
        <v>193560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</row>
    <row r="210" spans="1:144" ht="15.75" customHeight="1" x14ac:dyDescent="0.15">
      <c r="A210" s="421">
        <v>207</v>
      </c>
      <c r="B210" s="211">
        <v>1970</v>
      </c>
      <c r="C210" s="211">
        <f t="shared" si="4"/>
        <v>195530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</row>
    <row r="211" spans="1:144" ht="15.75" customHeight="1" x14ac:dyDescent="0.15">
      <c r="A211" s="421">
        <v>208</v>
      </c>
      <c r="B211" s="211">
        <v>1980</v>
      </c>
      <c r="C211" s="211">
        <f t="shared" si="4"/>
        <v>197510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</row>
    <row r="212" spans="1:144" ht="15.75" customHeight="1" x14ac:dyDescent="0.15">
      <c r="A212" s="421">
        <v>209</v>
      </c>
      <c r="B212" s="211">
        <v>1990</v>
      </c>
      <c r="C212" s="211">
        <f t="shared" si="4"/>
        <v>199500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</row>
    <row r="213" spans="1:144" ht="15.75" customHeight="1" x14ac:dyDescent="0.15">
      <c r="A213" s="421">
        <v>210</v>
      </c>
      <c r="B213" s="211">
        <v>2000</v>
      </c>
      <c r="C213" s="211">
        <f t="shared" si="4"/>
        <v>201500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</row>
    <row r="214" spans="1:144" ht="15.75" customHeight="1" x14ac:dyDescent="0.15">
      <c r="A214" s="421">
        <v>211</v>
      </c>
      <c r="B214" s="211">
        <v>2010</v>
      </c>
      <c r="C214" s="211">
        <f t="shared" si="4"/>
        <v>203510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</row>
    <row r="215" spans="1:144" ht="15.75" customHeight="1" x14ac:dyDescent="0.15">
      <c r="A215" s="421">
        <v>212</v>
      </c>
      <c r="B215" s="211">
        <v>2020</v>
      </c>
      <c r="C215" s="211">
        <f t="shared" si="4"/>
        <v>205530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</row>
    <row r="216" spans="1:144" ht="15.75" customHeight="1" x14ac:dyDescent="0.15">
      <c r="A216" s="421">
        <v>213</v>
      </c>
      <c r="B216" s="211">
        <v>2030</v>
      </c>
      <c r="C216" s="211">
        <f t="shared" si="4"/>
        <v>207560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</row>
    <row r="217" spans="1:144" ht="15.75" customHeight="1" x14ac:dyDescent="0.15">
      <c r="A217" s="421">
        <v>214</v>
      </c>
      <c r="B217" s="211">
        <v>2040</v>
      </c>
      <c r="C217" s="211">
        <f t="shared" si="4"/>
        <v>209600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</row>
    <row r="218" spans="1:144" ht="15.75" customHeight="1" x14ac:dyDescent="0.15">
      <c r="A218" s="421">
        <v>215</v>
      </c>
      <c r="B218" s="211">
        <v>2050</v>
      </c>
      <c r="C218" s="211">
        <f t="shared" si="4"/>
        <v>211650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</row>
    <row r="219" spans="1:144" ht="15.75" customHeight="1" x14ac:dyDescent="0.15">
      <c r="A219" s="421">
        <v>216</v>
      </c>
      <c r="B219" s="211">
        <v>2060</v>
      </c>
      <c r="C219" s="211">
        <f t="shared" si="4"/>
        <v>213710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</row>
    <row r="220" spans="1:144" ht="15.75" customHeight="1" x14ac:dyDescent="0.15">
      <c r="A220" s="421">
        <v>217</v>
      </c>
      <c r="B220" s="211">
        <v>2070</v>
      </c>
      <c r="C220" s="211">
        <f t="shared" si="4"/>
        <v>215780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</row>
    <row r="221" spans="1:144" ht="15.75" customHeight="1" x14ac:dyDescent="0.15">
      <c r="A221" s="421">
        <v>218</v>
      </c>
      <c r="B221" s="211">
        <v>2080</v>
      </c>
      <c r="C221" s="211">
        <f t="shared" si="4"/>
        <v>217860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</row>
    <row r="222" spans="1:144" ht="15.75" customHeight="1" x14ac:dyDescent="0.15">
      <c r="A222" s="421">
        <v>219</v>
      </c>
      <c r="B222" s="211">
        <v>2090</v>
      </c>
      <c r="C222" s="211">
        <f t="shared" si="4"/>
        <v>219950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</row>
    <row r="223" spans="1:144" ht="15.75" customHeight="1" x14ac:dyDescent="0.15">
      <c r="A223" s="421">
        <v>220</v>
      </c>
      <c r="B223" s="211">
        <v>2100</v>
      </c>
      <c r="C223" s="211">
        <f t="shared" si="4"/>
        <v>222050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</row>
    <row r="224" spans="1:144" ht="15.75" customHeight="1" x14ac:dyDescent="0.15">
      <c r="A224" s="421">
        <v>221</v>
      </c>
      <c r="B224" s="211">
        <v>2110</v>
      </c>
      <c r="C224" s="211">
        <f t="shared" si="4"/>
        <v>224160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</row>
    <row r="225" spans="1:144" ht="15.75" customHeight="1" x14ac:dyDescent="0.15">
      <c r="A225" s="421">
        <v>222</v>
      </c>
      <c r="B225" s="211">
        <v>2120</v>
      </c>
      <c r="C225" s="211">
        <f t="shared" si="4"/>
        <v>226280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</row>
    <row r="226" spans="1:144" ht="15.75" customHeight="1" x14ac:dyDescent="0.15">
      <c r="A226" s="421">
        <v>223</v>
      </c>
      <c r="B226" s="211">
        <v>2130</v>
      </c>
      <c r="C226" s="211">
        <f t="shared" si="4"/>
        <v>228410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</row>
    <row r="227" spans="1:144" ht="15.75" customHeight="1" x14ac:dyDescent="0.15">
      <c r="A227" s="421">
        <v>224</v>
      </c>
      <c r="B227" s="211">
        <v>2140</v>
      </c>
      <c r="C227" s="211">
        <f t="shared" si="4"/>
        <v>230550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</row>
    <row r="228" spans="1:144" ht="15.75" customHeight="1" x14ac:dyDescent="0.15">
      <c r="A228" s="421">
        <v>225</v>
      </c>
      <c r="B228" s="211">
        <v>2150</v>
      </c>
      <c r="C228" s="211">
        <f t="shared" si="4"/>
        <v>232700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</row>
    <row r="229" spans="1:144" ht="15.75" customHeight="1" x14ac:dyDescent="0.15">
      <c r="A229" s="421">
        <v>226</v>
      </c>
      <c r="B229" s="211">
        <v>2160</v>
      </c>
      <c r="C229" s="211">
        <f t="shared" si="4"/>
        <v>234860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</row>
    <row r="230" spans="1:144" ht="15.75" customHeight="1" x14ac:dyDescent="0.15">
      <c r="A230" s="421">
        <v>227</v>
      </c>
      <c r="B230" s="211">
        <v>2170</v>
      </c>
      <c r="C230" s="211">
        <f t="shared" si="4"/>
        <v>237030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</row>
    <row r="231" spans="1:144" ht="15.75" customHeight="1" x14ac:dyDescent="0.15">
      <c r="A231" s="421">
        <v>228</v>
      </c>
      <c r="B231" s="211">
        <v>2180</v>
      </c>
      <c r="C231" s="211">
        <f t="shared" si="4"/>
        <v>239210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</row>
    <row r="232" spans="1:144" ht="15.75" customHeight="1" x14ac:dyDescent="0.15">
      <c r="A232" s="421">
        <v>229</v>
      </c>
      <c r="B232" s="211">
        <v>2190</v>
      </c>
      <c r="C232" s="211">
        <f t="shared" si="4"/>
        <v>241400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</row>
    <row r="233" spans="1:144" ht="15.75" customHeight="1" x14ac:dyDescent="0.15">
      <c r="A233" s="421">
        <v>230</v>
      </c>
      <c r="B233" s="211">
        <v>2200</v>
      </c>
      <c r="C233" s="211">
        <f t="shared" si="4"/>
        <v>243600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</row>
    <row r="234" spans="1:144" ht="15.75" customHeight="1" x14ac:dyDescent="0.15">
      <c r="A234" s="421">
        <v>231</v>
      </c>
      <c r="B234" s="211">
        <v>2210</v>
      </c>
      <c r="C234" s="211">
        <f t="shared" si="4"/>
        <v>245810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</row>
    <row r="235" spans="1:144" ht="15.75" customHeight="1" x14ac:dyDescent="0.15">
      <c r="A235" s="421">
        <v>232</v>
      </c>
      <c r="B235" s="211">
        <v>2220</v>
      </c>
      <c r="C235" s="211">
        <f t="shared" si="4"/>
        <v>248030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</row>
    <row r="236" spans="1:144" ht="15.75" customHeight="1" x14ac:dyDescent="0.15">
      <c r="A236" s="421">
        <v>233</v>
      </c>
      <c r="B236" s="211">
        <v>2230</v>
      </c>
      <c r="C236" s="211">
        <f t="shared" si="4"/>
        <v>250260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</row>
    <row r="237" spans="1:144" ht="15.75" customHeight="1" x14ac:dyDescent="0.15">
      <c r="A237" s="421">
        <v>234</v>
      </c>
      <c r="B237" s="211">
        <v>2240</v>
      </c>
      <c r="C237" s="211">
        <f t="shared" si="4"/>
        <v>252500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</row>
    <row r="238" spans="1:144" ht="15.75" customHeight="1" x14ac:dyDescent="0.15">
      <c r="A238" s="421">
        <v>235</v>
      </c>
      <c r="B238" s="211">
        <v>2250</v>
      </c>
      <c r="C238" s="211">
        <f t="shared" si="4"/>
        <v>254750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</row>
    <row r="239" spans="1:144" ht="15.75" customHeight="1" x14ac:dyDescent="0.15">
      <c r="A239" s="421">
        <v>236</v>
      </c>
      <c r="B239" s="211">
        <v>2260</v>
      </c>
      <c r="C239" s="211">
        <f t="shared" si="4"/>
        <v>257010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</row>
    <row r="240" spans="1:144" ht="15.75" customHeight="1" x14ac:dyDescent="0.15">
      <c r="A240" s="421">
        <v>237</v>
      </c>
      <c r="B240" s="211">
        <v>2270</v>
      </c>
      <c r="C240" s="211">
        <f t="shared" si="4"/>
        <v>259280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</row>
    <row r="241" spans="1:144" ht="15.75" customHeight="1" x14ac:dyDescent="0.15">
      <c r="A241" s="421">
        <v>238</v>
      </c>
      <c r="B241" s="211">
        <v>2280</v>
      </c>
      <c r="C241" s="211">
        <f t="shared" si="4"/>
        <v>261560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</row>
    <row r="242" spans="1:144" ht="15.75" customHeight="1" x14ac:dyDescent="0.15">
      <c r="A242" s="421">
        <v>239</v>
      </c>
      <c r="B242" s="211">
        <v>2290</v>
      </c>
      <c r="C242" s="211">
        <f t="shared" si="4"/>
        <v>263850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</row>
    <row r="243" spans="1:144" ht="15.75" customHeight="1" x14ac:dyDescent="0.15">
      <c r="A243" s="421">
        <v>240</v>
      </c>
      <c r="B243" s="211">
        <v>2300</v>
      </c>
      <c r="C243" s="211">
        <f t="shared" si="4"/>
        <v>266150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</row>
    <row r="244" spans="1:144" ht="15.75" customHeight="1" x14ac:dyDescent="0.15">
      <c r="A244" s="421">
        <v>241</v>
      </c>
      <c r="B244" s="211">
        <v>2310</v>
      </c>
      <c r="C244" s="211">
        <f t="shared" si="4"/>
        <v>268460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</row>
    <row r="245" spans="1:144" ht="15.75" customHeight="1" x14ac:dyDescent="0.15">
      <c r="A245" s="421">
        <v>242</v>
      </c>
      <c r="B245" s="211">
        <v>2320</v>
      </c>
      <c r="C245" s="211">
        <f t="shared" si="4"/>
        <v>270780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</row>
    <row r="246" spans="1:144" ht="15.75" customHeight="1" x14ac:dyDescent="0.15">
      <c r="A246" s="421">
        <v>243</v>
      </c>
      <c r="B246" s="211">
        <v>2330</v>
      </c>
      <c r="C246" s="211">
        <f t="shared" si="4"/>
        <v>273110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</row>
    <row r="247" spans="1:144" ht="15.75" customHeight="1" x14ac:dyDescent="0.15">
      <c r="A247" s="421">
        <v>244</v>
      </c>
      <c r="B247" s="211">
        <v>2340</v>
      </c>
      <c r="C247" s="211">
        <f t="shared" si="4"/>
        <v>275450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</row>
    <row r="248" spans="1:144" ht="15.75" customHeight="1" x14ac:dyDescent="0.15">
      <c r="A248" s="421">
        <v>245</v>
      </c>
      <c r="B248" s="211">
        <v>2350</v>
      </c>
      <c r="C248" s="211">
        <f t="shared" si="4"/>
        <v>277800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</row>
    <row r="249" spans="1:144" ht="15.75" customHeight="1" x14ac:dyDescent="0.15">
      <c r="A249" s="421">
        <v>246</v>
      </c>
      <c r="B249" s="211">
        <v>2360</v>
      </c>
      <c r="C249" s="211">
        <f t="shared" si="4"/>
        <v>280160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</row>
    <row r="250" spans="1:144" ht="15.75" customHeight="1" x14ac:dyDescent="0.15">
      <c r="A250" s="421">
        <v>247</v>
      </c>
      <c r="B250" s="211">
        <v>2370</v>
      </c>
      <c r="C250" s="211">
        <f t="shared" si="4"/>
        <v>282530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</row>
    <row r="251" spans="1:144" ht="15.75" customHeight="1" x14ac:dyDescent="0.15">
      <c r="A251" s="421">
        <v>248</v>
      </c>
      <c r="B251" s="211">
        <v>2380</v>
      </c>
      <c r="C251" s="211">
        <f t="shared" si="4"/>
        <v>284910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</row>
    <row r="252" spans="1:144" ht="15.75" customHeight="1" x14ac:dyDescent="0.15">
      <c r="A252" s="421">
        <v>249</v>
      </c>
      <c r="B252" s="211">
        <v>2390</v>
      </c>
      <c r="C252" s="211">
        <f t="shared" si="4"/>
        <v>287300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</row>
    <row r="253" spans="1:144" ht="15.75" customHeight="1" x14ac:dyDescent="0.15">
      <c r="A253" s="421">
        <v>250</v>
      </c>
      <c r="B253" s="211">
        <v>2400</v>
      </c>
      <c r="C253" s="211">
        <f t="shared" si="4"/>
        <v>289700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</row>
    <row r="254" spans="1:144" ht="15.75" customHeight="1" x14ac:dyDescent="0.15">
      <c r="A254" s="421">
        <v>251</v>
      </c>
      <c r="B254" s="211">
        <v>2410</v>
      </c>
      <c r="C254" s="211">
        <f t="shared" si="4"/>
        <v>292110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</row>
    <row r="255" spans="1:144" ht="15.75" customHeight="1" x14ac:dyDescent="0.15">
      <c r="A255" s="421">
        <v>252</v>
      </c>
      <c r="B255" s="211">
        <v>2420</v>
      </c>
      <c r="C255" s="211">
        <f t="shared" si="4"/>
        <v>294530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</row>
    <row r="256" spans="1:144" ht="15.75" customHeight="1" x14ac:dyDescent="0.15">
      <c r="A256" s="421">
        <v>253</v>
      </c>
      <c r="B256" s="211">
        <v>2430</v>
      </c>
      <c r="C256" s="211">
        <f t="shared" si="4"/>
        <v>296960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</row>
    <row r="257" spans="1:144" ht="15.75" customHeight="1" x14ac:dyDescent="0.15">
      <c r="A257" s="421">
        <v>254</v>
      </c>
      <c r="B257" s="211">
        <v>2440</v>
      </c>
      <c r="C257" s="211">
        <f t="shared" si="4"/>
        <v>299400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</row>
    <row r="258" spans="1:144" ht="15.75" customHeight="1" x14ac:dyDescent="0.15">
      <c r="A258" s="421">
        <v>255</v>
      </c>
      <c r="B258" s="211">
        <v>2450</v>
      </c>
      <c r="C258" s="211">
        <f t="shared" si="4"/>
        <v>301850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</row>
    <row r="259" spans="1:144" ht="15.75" customHeight="1" x14ac:dyDescent="0.15">
      <c r="A259" s="421">
        <v>256</v>
      </c>
      <c r="B259" s="211">
        <v>2460</v>
      </c>
      <c r="C259" s="211">
        <f t="shared" ref="C259:C513" si="547">C258+B259</f>
        <v>304310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</row>
    <row r="260" spans="1:144" ht="15.75" customHeight="1" x14ac:dyDescent="0.15">
      <c r="A260" s="421">
        <v>257</v>
      </c>
      <c r="B260" s="211">
        <v>2470</v>
      </c>
      <c r="C260" s="211">
        <f t="shared" si="547"/>
        <v>306780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</row>
    <row r="261" spans="1:144" ht="15.75" customHeight="1" x14ac:dyDescent="0.15">
      <c r="A261" s="421">
        <v>258</v>
      </c>
      <c r="B261" s="211">
        <v>2480</v>
      </c>
      <c r="C261" s="211">
        <f t="shared" si="547"/>
        <v>309260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</row>
    <row r="262" spans="1:144" ht="15.75" customHeight="1" x14ac:dyDescent="0.15">
      <c r="A262" s="421">
        <v>259</v>
      </c>
      <c r="B262" s="211">
        <v>2490</v>
      </c>
      <c r="C262" s="211">
        <f t="shared" si="547"/>
        <v>311750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</row>
    <row r="263" spans="1:144" ht="15.75" customHeight="1" x14ac:dyDescent="0.15">
      <c r="A263" s="421">
        <v>260</v>
      </c>
      <c r="B263" s="211">
        <v>2500</v>
      </c>
      <c r="C263" s="211">
        <f t="shared" si="547"/>
        <v>314250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</row>
    <row r="264" spans="1:144" ht="15.75" customHeight="1" x14ac:dyDescent="0.15">
      <c r="A264" s="421">
        <v>261</v>
      </c>
      <c r="B264" s="211">
        <v>2510</v>
      </c>
      <c r="C264" s="211">
        <f t="shared" si="547"/>
        <v>316760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</row>
    <row r="265" spans="1:144" ht="15.75" customHeight="1" x14ac:dyDescent="0.15">
      <c r="A265" s="421">
        <v>262</v>
      </c>
      <c r="B265" s="211">
        <v>2520</v>
      </c>
      <c r="C265" s="211">
        <f t="shared" si="547"/>
        <v>319280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</row>
    <row r="266" spans="1:144" ht="15.75" customHeight="1" x14ac:dyDescent="0.15">
      <c r="A266" s="421">
        <v>263</v>
      </c>
      <c r="B266" s="211">
        <v>2530</v>
      </c>
      <c r="C266" s="211">
        <f t="shared" si="547"/>
        <v>321810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</row>
    <row r="267" spans="1:144" ht="15.75" customHeight="1" x14ac:dyDescent="0.15">
      <c r="A267" s="421">
        <v>264</v>
      </c>
      <c r="B267" s="211">
        <v>2540</v>
      </c>
      <c r="C267" s="211">
        <f t="shared" si="547"/>
        <v>324350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</row>
    <row r="268" spans="1:144" ht="15.75" customHeight="1" x14ac:dyDescent="0.15">
      <c r="A268" s="421">
        <v>265</v>
      </c>
      <c r="B268" s="211">
        <v>2550</v>
      </c>
      <c r="C268" s="211">
        <f t="shared" si="547"/>
        <v>326900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</row>
    <row r="269" spans="1:144" ht="15.75" customHeight="1" x14ac:dyDescent="0.15">
      <c r="A269" s="421">
        <v>266</v>
      </c>
      <c r="B269" s="211">
        <v>2560</v>
      </c>
      <c r="C269" s="211">
        <f t="shared" si="547"/>
        <v>329460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</row>
    <row r="270" spans="1:144" ht="15.75" customHeight="1" x14ac:dyDescent="0.15">
      <c r="A270" s="421">
        <v>267</v>
      </c>
      <c r="B270" s="211">
        <v>2570</v>
      </c>
      <c r="C270" s="211">
        <f t="shared" si="547"/>
        <v>332030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</row>
    <row r="271" spans="1:144" ht="15.75" customHeight="1" x14ac:dyDescent="0.15">
      <c r="A271" s="421">
        <v>268</v>
      </c>
      <c r="B271" s="211">
        <v>2580</v>
      </c>
      <c r="C271" s="211">
        <f t="shared" si="547"/>
        <v>334610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</row>
    <row r="272" spans="1:144" ht="15.75" customHeight="1" x14ac:dyDescent="0.15">
      <c r="A272" s="421">
        <v>269</v>
      </c>
      <c r="B272" s="211">
        <v>2590</v>
      </c>
      <c r="C272" s="211">
        <f t="shared" si="547"/>
        <v>337200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</row>
    <row r="273" spans="1:144" ht="15.75" customHeight="1" x14ac:dyDescent="0.15">
      <c r="A273" s="421">
        <v>270</v>
      </c>
      <c r="B273" s="211">
        <v>2600</v>
      </c>
      <c r="C273" s="211">
        <f t="shared" si="547"/>
        <v>339800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</row>
    <row r="274" spans="1:144" ht="15.75" customHeight="1" x14ac:dyDescent="0.15">
      <c r="A274" s="421">
        <v>271</v>
      </c>
      <c r="B274" s="211">
        <v>2610</v>
      </c>
      <c r="C274" s="211">
        <f t="shared" si="547"/>
        <v>342410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</row>
    <row r="275" spans="1:144" ht="15.75" customHeight="1" x14ac:dyDescent="0.15">
      <c r="A275" s="421">
        <v>272</v>
      </c>
      <c r="B275" s="211">
        <v>2620</v>
      </c>
      <c r="C275" s="211">
        <f t="shared" si="547"/>
        <v>345030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</row>
    <row r="276" spans="1:144" ht="15.75" customHeight="1" x14ac:dyDescent="0.15">
      <c r="A276" s="421">
        <v>273</v>
      </c>
      <c r="B276" s="211">
        <v>2630</v>
      </c>
      <c r="C276" s="211">
        <f t="shared" si="547"/>
        <v>347660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</row>
    <row r="277" spans="1:144" ht="15.75" customHeight="1" x14ac:dyDescent="0.15">
      <c r="A277" s="421">
        <v>274</v>
      </c>
      <c r="B277" s="211">
        <v>2640</v>
      </c>
      <c r="C277" s="211">
        <f t="shared" si="547"/>
        <v>350300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</row>
    <row r="278" spans="1:144" ht="15.75" customHeight="1" x14ac:dyDescent="0.15">
      <c r="A278" s="421">
        <v>275</v>
      </c>
      <c r="B278" s="211">
        <v>2650</v>
      </c>
      <c r="C278" s="211">
        <f t="shared" si="547"/>
        <v>352950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</row>
    <row r="279" spans="1:144" ht="15.75" customHeight="1" x14ac:dyDescent="0.15">
      <c r="A279" s="421">
        <v>276</v>
      </c>
      <c r="B279" s="211">
        <v>2660</v>
      </c>
      <c r="C279" s="211">
        <f t="shared" si="547"/>
        <v>355610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</row>
    <row r="280" spans="1:144" ht="15.75" customHeight="1" x14ac:dyDescent="0.15">
      <c r="A280" s="421">
        <v>277</v>
      </c>
      <c r="B280" s="211">
        <v>2670</v>
      </c>
      <c r="C280" s="211">
        <f t="shared" si="547"/>
        <v>358280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</row>
    <row r="281" spans="1:144" ht="15.75" customHeight="1" x14ac:dyDescent="0.15">
      <c r="A281" s="421">
        <v>278</v>
      </c>
      <c r="B281" s="211">
        <v>2680</v>
      </c>
      <c r="C281" s="211">
        <f t="shared" si="547"/>
        <v>360960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</row>
    <row r="282" spans="1:144" ht="15.75" customHeight="1" x14ac:dyDescent="0.15">
      <c r="A282" s="421">
        <v>279</v>
      </c>
      <c r="B282" s="211">
        <v>2690</v>
      </c>
      <c r="C282" s="211">
        <f t="shared" si="547"/>
        <v>363650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</row>
    <row r="283" spans="1:144" ht="15.75" customHeight="1" x14ac:dyDescent="0.15">
      <c r="A283" s="421">
        <v>280</v>
      </c>
      <c r="B283" s="211">
        <v>2700</v>
      </c>
      <c r="C283" s="211">
        <f t="shared" si="547"/>
        <v>366350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</row>
    <row r="284" spans="1:144" ht="15.75" customHeight="1" x14ac:dyDescent="0.15">
      <c r="A284" s="421">
        <v>281</v>
      </c>
      <c r="B284" s="211">
        <v>2710</v>
      </c>
      <c r="C284" s="211">
        <f t="shared" si="547"/>
        <v>369060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</row>
    <row r="285" spans="1:144" ht="15.75" customHeight="1" x14ac:dyDescent="0.15">
      <c r="A285" s="421">
        <v>282</v>
      </c>
      <c r="B285" s="211">
        <v>2720</v>
      </c>
      <c r="C285" s="211">
        <f t="shared" si="547"/>
        <v>371780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</row>
    <row r="286" spans="1:144" ht="15.75" customHeight="1" x14ac:dyDescent="0.15">
      <c r="A286" s="421">
        <v>283</v>
      </c>
      <c r="B286" s="211">
        <v>2730</v>
      </c>
      <c r="C286" s="211">
        <f t="shared" si="547"/>
        <v>374510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</row>
    <row r="287" spans="1:144" ht="15.75" customHeight="1" x14ac:dyDescent="0.15">
      <c r="A287" s="421">
        <v>284</v>
      </c>
      <c r="B287" s="211">
        <v>2740</v>
      </c>
      <c r="C287" s="211">
        <f t="shared" si="547"/>
        <v>377250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</row>
    <row r="288" spans="1:144" ht="15.75" customHeight="1" x14ac:dyDescent="0.15">
      <c r="A288" s="421">
        <v>285</v>
      </c>
      <c r="B288" s="211">
        <v>2750</v>
      </c>
      <c r="C288" s="211">
        <f t="shared" si="547"/>
        <v>380000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</row>
    <row r="289" spans="1:144" ht="15.75" customHeight="1" x14ac:dyDescent="0.15">
      <c r="A289" s="421">
        <v>286</v>
      </c>
      <c r="B289" s="211">
        <v>2760</v>
      </c>
      <c r="C289" s="211">
        <f t="shared" si="547"/>
        <v>382760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</row>
    <row r="290" spans="1:144" ht="15.75" customHeight="1" x14ac:dyDescent="0.15">
      <c r="A290" s="421">
        <v>287</v>
      </c>
      <c r="B290" s="211">
        <v>2770</v>
      </c>
      <c r="C290" s="211">
        <f t="shared" si="547"/>
        <v>385530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</row>
    <row r="291" spans="1:144" ht="15.75" customHeight="1" x14ac:dyDescent="0.15">
      <c r="A291" s="421">
        <v>288</v>
      </c>
      <c r="B291" s="211">
        <v>2780</v>
      </c>
      <c r="C291" s="211">
        <f t="shared" si="547"/>
        <v>388310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</row>
    <row r="292" spans="1:144" ht="15.75" customHeight="1" x14ac:dyDescent="0.15">
      <c r="A292" s="421">
        <v>289</v>
      </c>
      <c r="B292" s="211">
        <v>2790</v>
      </c>
      <c r="C292" s="211">
        <f t="shared" si="547"/>
        <v>391100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</row>
    <row r="293" spans="1:144" ht="15.75" customHeight="1" x14ac:dyDescent="0.15">
      <c r="A293" s="421">
        <v>290</v>
      </c>
      <c r="B293" s="211">
        <v>2800</v>
      </c>
      <c r="C293" s="211">
        <f t="shared" si="547"/>
        <v>393900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</row>
    <row r="294" spans="1:144" ht="15.75" customHeight="1" x14ac:dyDescent="0.15">
      <c r="A294" s="421">
        <v>291</v>
      </c>
      <c r="B294" s="211">
        <v>2810</v>
      </c>
      <c r="C294" s="211">
        <f t="shared" si="547"/>
        <v>396710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</row>
    <row r="295" spans="1:144" ht="15.75" customHeight="1" x14ac:dyDescent="0.15">
      <c r="A295" s="421">
        <v>292</v>
      </c>
      <c r="B295" s="211">
        <v>2820</v>
      </c>
      <c r="C295" s="211">
        <f t="shared" si="547"/>
        <v>399530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</row>
    <row r="296" spans="1:144" ht="15.75" customHeight="1" x14ac:dyDescent="0.15">
      <c r="A296" s="421">
        <v>293</v>
      </c>
      <c r="B296" s="211">
        <v>2830</v>
      </c>
      <c r="C296" s="211">
        <f t="shared" si="547"/>
        <v>402360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</row>
    <row r="297" spans="1:144" ht="15.75" customHeight="1" x14ac:dyDescent="0.15">
      <c r="A297" s="421">
        <v>294</v>
      </c>
      <c r="B297" s="211">
        <v>2840</v>
      </c>
      <c r="C297" s="211">
        <f t="shared" si="547"/>
        <v>405200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</row>
    <row r="298" spans="1:144" ht="15.75" customHeight="1" x14ac:dyDescent="0.15">
      <c r="A298" s="421">
        <v>295</v>
      </c>
      <c r="B298" s="211">
        <v>2850</v>
      </c>
      <c r="C298" s="211">
        <f t="shared" si="547"/>
        <v>408050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</row>
    <row r="299" spans="1:144" ht="15.75" customHeight="1" x14ac:dyDescent="0.15">
      <c r="A299" s="421">
        <v>296</v>
      </c>
      <c r="B299" s="211">
        <v>2860</v>
      </c>
      <c r="C299" s="211">
        <f t="shared" si="547"/>
        <v>410910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</row>
    <row r="300" spans="1:144" ht="15.75" customHeight="1" x14ac:dyDescent="0.15">
      <c r="A300" s="421">
        <v>297</v>
      </c>
      <c r="B300" s="211">
        <v>2870</v>
      </c>
      <c r="C300" s="211">
        <f t="shared" si="547"/>
        <v>413780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</row>
    <row r="301" spans="1:144" ht="15.75" customHeight="1" x14ac:dyDescent="0.15">
      <c r="A301" s="421">
        <v>298</v>
      </c>
      <c r="B301" s="211">
        <v>2880</v>
      </c>
      <c r="C301" s="211">
        <f t="shared" si="547"/>
        <v>416660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</row>
    <row r="302" spans="1:144" ht="15.75" customHeight="1" x14ac:dyDescent="0.15">
      <c r="A302" s="421">
        <v>299</v>
      </c>
      <c r="B302" s="211">
        <v>2890</v>
      </c>
      <c r="C302" s="211">
        <f t="shared" si="547"/>
        <v>419550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</row>
    <row r="303" spans="1:144" ht="15.75" customHeight="1" x14ac:dyDescent="0.15">
      <c r="A303" s="421">
        <v>300</v>
      </c>
      <c r="B303" s="211">
        <v>2900</v>
      </c>
      <c r="C303" s="211">
        <f t="shared" si="547"/>
        <v>422450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</row>
    <row r="304" spans="1:144" ht="15.75" customHeight="1" x14ac:dyDescent="0.15">
      <c r="A304" s="421">
        <v>301</v>
      </c>
      <c r="B304" s="211">
        <v>2910</v>
      </c>
      <c r="C304" s="211">
        <f t="shared" si="547"/>
        <v>425360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</row>
    <row r="305" spans="1:144" ht="15.75" customHeight="1" x14ac:dyDescent="0.15">
      <c r="A305" s="421">
        <v>302</v>
      </c>
      <c r="B305" s="211">
        <v>2920</v>
      </c>
      <c r="C305" s="211">
        <f t="shared" si="547"/>
        <v>428280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</row>
    <row r="306" spans="1:144" ht="15.75" customHeight="1" x14ac:dyDescent="0.15">
      <c r="A306" s="421">
        <v>303</v>
      </c>
      <c r="B306" s="211">
        <v>2930</v>
      </c>
      <c r="C306" s="211">
        <f t="shared" si="547"/>
        <v>431210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</row>
    <row r="307" spans="1:144" ht="15.75" customHeight="1" x14ac:dyDescent="0.15">
      <c r="A307" s="421">
        <v>304</v>
      </c>
      <c r="B307" s="211">
        <v>2940</v>
      </c>
      <c r="C307" s="211">
        <f t="shared" si="547"/>
        <v>434150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</row>
    <row r="308" spans="1:144" ht="15.75" customHeight="1" x14ac:dyDescent="0.15">
      <c r="A308" s="421">
        <v>305</v>
      </c>
      <c r="B308" s="211">
        <v>2950</v>
      </c>
      <c r="C308" s="211">
        <f t="shared" si="547"/>
        <v>437100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</row>
    <row r="309" spans="1:144" ht="15.75" customHeight="1" x14ac:dyDescent="0.15">
      <c r="A309" s="421">
        <v>306</v>
      </c>
      <c r="B309" s="211">
        <v>2960</v>
      </c>
      <c r="C309" s="211">
        <f t="shared" si="547"/>
        <v>440060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</row>
    <row r="310" spans="1:144" ht="15.75" customHeight="1" x14ac:dyDescent="0.15">
      <c r="A310" s="421">
        <v>307</v>
      </c>
      <c r="B310" s="211">
        <v>2970</v>
      </c>
      <c r="C310" s="211">
        <f t="shared" si="547"/>
        <v>443030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</row>
    <row r="311" spans="1:144" ht="15.75" customHeight="1" x14ac:dyDescent="0.15">
      <c r="A311" s="421">
        <v>308</v>
      </c>
      <c r="B311" s="211">
        <v>2980</v>
      </c>
      <c r="C311" s="211">
        <f t="shared" si="547"/>
        <v>446010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</row>
    <row r="312" spans="1:144" ht="15.75" customHeight="1" x14ac:dyDescent="0.15">
      <c r="A312" s="421">
        <v>309</v>
      </c>
      <c r="B312" s="211">
        <v>2990</v>
      </c>
      <c r="C312" s="211">
        <f t="shared" si="547"/>
        <v>449000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</row>
    <row r="313" spans="1:144" ht="15.75" customHeight="1" x14ac:dyDescent="0.15">
      <c r="A313" s="421">
        <v>310</v>
      </c>
      <c r="B313" s="211">
        <v>3000</v>
      </c>
      <c r="C313" s="211">
        <f t="shared" si="547"/>
        <v>452000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</row>
    <row r="314" spans="1:144" ht="15.75" customHeight="1" x14ac:dyDescent="0.15">
      <c r="A314" s="421">
        <v>311</v>
      </c>
      <c r="B314" s="211">
        <v>3010</v>
      </c>
      <c r="C314" s="211">
        <f t="shared" si="547"/>
        <v>455010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</row>
    <row r="315" spans="1:144" ht="15.75" customHeight="1" x14ac:dyDescent="0.15">
      <c r="A315" s="421">
        <v>312</v>
      </c>
      <c r="B315" s="211">
        <v>3020</v>
      </c>
      <c r="C315" s="211">
        <f t="shared" si="547"/>
        <v>458030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</row>
    <row r="316" spans="1:144" ht="15.75" customHeight="1" x14ac:dyDescent="0.15">
      <c r="A316" s="421">
        <v>313</v>
      </c>
      <c r="B316" s="211">
        <v>3030</v>
      </c>
      <c r="C316" s="211">
        <f t="shared" si="547"/>
        <v>461060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</row>
    <row r="317" spans="1:144" ht="15.75" customHeight="1" x14ac:dyDescent="0.15">
      <c r="A317" s="421">
        <v>314</v>
      </c>
      <c r="B317" s="211">
        <v>3040</v>
      </c>
      <c r="C317" s="211">
        <f t="shared" si="547"/>
        <v>464100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</row>
    <row r="318" spans="1:144" ht="15.75" customHeight="1" x14ac:dyDescent="0.15">
      <c r="A318" s="421">
        <v>315</v>
      </c>
      <c r="B318" s="211">
        <v>3050</v>
      </c>
      <c r="C318" s="211">
        <f t="shared" si="547"/>
        <v>467150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</row>
    <row r="319" spans="1:144" ht="15.75" customHeight="1" x14ac:dyDescent="0.15">
      <c r="A319" s="421">
        <v>316</v>
      </c>
      <c r="B319" s="211">
        <v>3060</v>
      </c>
      <c r="C319" s="211">
        <f t="shared" si="547"/>
        <v>470210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</row>
    <row r="320" spans="1:144" ht="15.75" customHeight="1" x14ac:dyDescent="0.15">
      <c r="A320" s="421">
        <v>317</v>
      </c>
      <c r="B320" s="211">
        <v>3070</v>
      </c>
      <c r="C320" s="211">
        <f t="shared" si="547"/>
        <v>473280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</row>
    <row r="321" spans="1:144" ht="15.75" customHeight="1" x14ac:dyDescent="0.15">
      <c r="A321" s="421">
        <v>318</v>
      </c>
      <c r="B321" s="211">
        <v>3080</v>
      </c>
      <c r="C321" s="211">
        <f t="shared" si="547"/>
        <v>476360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</row>
    <row r="322" spans="1:144" ht="15.75" customHeight="1" x14ac:dyDescent="0.15">
      <c r="A322" s="421">
        <v>319</v>
      </c>
      <c r="B322" s="211">
        <v>3090</v>
      </c>
      <c r="C322" s="211">
        <f t="shared" si="547"/>
        <v>479450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</row>
    <row r="323" spans="1:144" ht="15.75" customHeight="1" x14ac:dyDescent="0.15">
      <c r="A323" s="421">
        <v>320</v>
      </c>
      <c r="B323" s="211">
        <v>3100</v>
      </c>
      <c r="C323" s="211">
        <f t="shared" si="547"/>
        <v>482550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</row>
    <row r="324" spans="1:144" ht="15.75" customHeight="1" x14ac:dyDescent="0.15">
      <c r="A324" s="421">
        <v>321</v>
      </c>
      <c r="B324" s="211">
        <v>3110</v>
      </c>
      <c r="C324" s="211">
        <f t="shared" si="547"/>
        <v>485660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</row>
    <row r="325" spans="1:144" ht="15.75" customHeight="1" x14ac:dyDescent="0.15">
      <c r="A325" s="421">
        <v>322</v>
      </c>
      <c r="B325" s="211">
        <v>3120</v>
      </c>
      <c r="C325" s="211">
        <f t="shared" si="547"/>
        <v>488780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</row>
    <row r="326" spans="1:144" ht="15.75" customHeight="1" x14ac:dyDescent="0.15">
      <c r="A326" s="421">
        <v>323</v>
      </c>
      <c r="B326" s="211">
        <v>3130</v>
      </c>
      <c r="C326" s="211">
        <f t="shared" si="547"/>
        <v>491910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</row>
    <row r="327" spans="1:144" ht="15.75" customHeight="1" x14ac:dyDescent="0.15">
      <c r="A327" s="421">
        <v>324</v>
      </c>
      <c r="B327" s="211">
        <v>3140</v>
      </c>
      <c r="C327" s="211">
        <f t="shared" si="547"/>
        <v>495050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</row>
    <row r="328" spans="1:144" ht="15.75" customHeight="1" x14ac:dyDescent="0.15">
      <c r="A328" s="421">
        <v>325</v>
      </c>
      <c r="B328" s="211">
        <v>3150</v>
      </c>
      <c r="C328" s="211">
        <f t="shared" si="547"/>
        <v>498200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</row>
    <row r="329" spans="1:144" ht="15.75" customHeight="1" x14ac:dyDescent="0.15">
      <c r="A329" s="421">
        <v>326</v>
      </c>
      <c r="B329" s="435">
        <v>3160</v>
      </c>
      <c r="C329" s="211">
        <f t="shared" si="547"/>
        <v>501360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</row>
    <row r="330" spans="1:144" ht="15.75" customHeight="1" x14ac:dyDescent="0.15">
      <c r="A330" s="421">
        <v>327</v>
      </c>
      <c r="B330" s="435">
        <v>3170</v>
      </c>
      <c r="C330" s="211">
        <f t="shared" si="547"/>
        <v>504530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</row>
    <row r="331" spans="1:144" ht="15.75" customHeight="1" x14ac:dyDescent="0.15">
      <c r="A331" s="421">
        <v>328</v>
      </c>
      <c r="B331" s="435">
        <v>3180</v>
      </c>
      <c r="C331" s="211">
        <f t="shared" si="547"/>
        <v>507710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</row>
    <row r="332" spans="1:144" ht="15.75" customHeight="1" x14ac:dyDescent="0.15">
      <c r="A332" s="421">
        <v>329</v>
      </c>
      <c r="B332" s="435">
        <v>3190</v>
      </c>
      <c r="C332" s="211">
        <f t="shared" si="547"/>
        <v>510900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</row>
    <row r="333" spans="1:144" ht="15.75" customHeight="1" x14ac:dyDescent="0.15">
      <c r="A333" s="421">
        <v>330</v>
      </c>
      <c r="B333" s="435">
        <v>3200</v>
      </c>
      <c r="C333" s="211">
        <f t="shared" si="547"/>
        <v>514100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</row>
    <row r="334" spans="1:144" ht="15.75" customHeight="1" x14ac:dyDescent="0.15">
      <c r="A334" s="421">
        <v>331</v>
      </c>
      <c r="B334" s="435">
        <v>3210</v>
      </c>
      <c r="C334" s="211">
        <f t="shared" si="547"/>
        <v>517310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</row>
    <row r="335" spans="1:144" ht="15.75" customHeight="1" x14ac:dyDescent="0.15">
      <c r="A335" s="421">
        <v>332</v>
      </c>
      <c r="B335" s="435">
        <v>3220</v>
      </c>
      <c r="C335" s="211">
        <f t="shared" si="547"/>
        <v>520530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</row>
    <row r="336" spans="1:144" ht="15.75" customHeight="1" x14ac:dyDescent="0.15">
      <c r="A336" s="421">
        <v>333</v>
      </c>
      <c r="B336" s="435">
        <v>3230</v>
      </c>
      <c r="C336" s="211">
        <f t="shared" si="547"/>
        <v>523760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</row>
    <row r="337" spans="1:144" ht="15.75" customHeight="1" x14ac:dyDescent="0.15">
      <c r="A337" s="421">
        <v>334</v>
      </c>
      <c r="B337" s="435">
        <v>3240</v>
      </c>
      <c r="C337" s="211">
        <f t="shared" si="547"/>
        <v>527000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</row>
    <row r="338" spans="1:144" ht="15.75" customHeight="1" x14ac:dyDescent="0.15">
      <c r="A338" s="421">
        <v>335</v>
      </c>
      <c r="B338" s="435">
        <v>3250</v>
      </c>
      <c r="C338" s="211">
        <f t="shared" si="547"/>
        <v>530250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</row>
    <row r="339" spans="1:144" ht="15.75" customHeight="1" x14ac:dyDescent="0.15">
      <c r="A339" s="421">
        <v>336</v>
      </c>
      <c r="B339" s="435">
        <v>3260</v>
      </c>
      <c r="C339" s="211">
        <f t="shared" si="547"/>
        <v>533510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</row>
    <row r="340" spans="1:144" ht="15.75" customHeight="1" x14ac:dyDescent="0.15">
      <c r="A340" s="421">
        <v>337</v>
      </c>
      <c r="B340" s="435">
        <v>3270</v>
      </c>
      <c r="C340" s="211">
        <f t="shared" si="547"/>
        <v>536780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</row>
    <row r="341" spans="1:144" ht="15.75" customHeight="1" x14ac:dyDescent="0.15">
      <c r="A341" s="421">
        <v>338</v>
      </c>
      <c r="B341" s="435">
        <v>3280</v>
      </c>
      <c r="C341" s="211">
        <f t="shared" si="547"/>
        <v>540060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</row>
    <row r="342" spans="1:144" ht="15.75" customHeight="1" x14ac:dyDescent="0.15">
      <c r="A342" s="421">
        <v>339</v>
      </c>
      <c r="B342" s="435">
        <v>3290</v>
      </c>
      <c r="C342" s="211">
        <f t="shared" si="547"/>
        <v>543350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</row>
    <row r="343" spans="1:144" ht="15.75" customHeight="1" x14ac:dyDescent="0.15">
      <c r="A343" s="421">
        <v>340</v>
      </c>
      <c r="B343" s="435">
        <v>3300</v>
      </c>
      <c r="C343" s="211">
        <f t="shared" si="547"/>
        <v>546650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</row>
    <row r="344" spans="1:144" ht="15.75" customHeight="1" x14ac:dyDescent="0.15">
      <c r="A344" s="421">
        <v>341</v>
      </c>
      <c r="B344" s="435">
        <v>3310</v>
      </c>
      <c r="C344" s="211">
        <f t="shared" si="547"/>
        <v>549960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</row>
    <row r="345" spans="1:144" ht="15.75" customHeight="1" x14ac:dyDescent="0.15">
      <c r="A345" s="421">
        <v>342</v>
      </c>
      <c r="B345" s="435">
        <v>3320</v>
      </c>
      <c r="C345" s="211">
        <f t="shared" si="547"/>
        <v>553280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</row>
    <row r="346" spans="1:144" ht="15.75" customHeight="1" x14ac:dyDescent="0.15">
      <c r="A346" s="421">
        <v>343</v>
      </c>
      <c r="B346" s="435">
        <v>3330</v>
      </c>
      <c r="C346" s="211">
        <f t="shared" si="547"/>
        <v>556610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</row>
    <row r="347" spans="1:144" ht="15.75" customHeight="1" x14ac:dyDescent="0.15">
      <c r="A347" s="421">
        <v>344</v>
      </c>
      <c r="B347" s="435">
        <v>3340</v>
      </c>
      <c r="C347" s="211">
        <f t="shared" si="547"/>
        <v>559950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</row>
    <row r="348" spans="1:144" ht="15.75" customHeight="1" x14ac:dyDescent="0.15">
      <c r="A348" s="421">
        <v>345</v>
      </c>
      <c r="B348" s="435">
        <v>3350</v>
      </c>
      <c r="C348" s="211">
        <f t="shared" si="547"/>
        <v>563300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</row>
    <row r="349" spans="1:144" ht="15.75" customHeight="1" x14ac:dyDescent="0.15">
      <c r="A349" s="421">
        <v>346</v>
      </c>
      <c r="B349" s="435">
        <v>3360</v>
      </c>
      <c r="C349" s="211">
        <f t="shared" si="547"/>
        <v>566660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</row>
    <row r="350" spans="1:144" ht="15.75" customHeight="1" x14ac:dyDescent="0.15">
      <c r="A350" s="421">
        <v>347</v>
      </c>
      <c r="B350" s="435">
        <v>3370</v>
      </c>
      <c r="C350" s="211">
        <f t="shared" si="547"/>
        <v>570030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</row>
    <row r="351" spans="1:144" ht="15.75" customHeight="1" x14ac:dyDescent="0.15">
      <c r="A351" s="421">
        <v>348</v>
      </c>
      <c r="B351" s="435">
        <v>3380</v>
      </c>
      <c r="C351" s="211">
        <f t="shared" si="547"/>
        <v>573410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</row>
    <row r="352" spans="1:144" ht="15.75" customHeight="1" x14ac:dyDescent="0.15">
      <c r="A352" s="421">
        <v>349</v>
      </c>
      <c r="B352" s="435">
        <v>3390</v>
      </c>
      <c r="C352" s="211">
        <f t="shared" si="547"/>
        <v>576800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</row>
    <row r="353" spans="1:144" ht="15.75" customHeight="1" x14ac:dyDescent="0.15">
      <c r="A353" s="421">
        <v>350</v>
      </c>
      <c r="B353" s="435">
        <v>3400</v>
      </c>
      <c r="C353" s="211">
        <f t="shared" si="547"/>
        <v>580200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</row>
    <row r="354" spans="1:144" ht="15.75" customHeight="1" x14ac:dyDescent="0.15">
      <c r="A354" s="421">
        <v>351</v>
      </c>
      <c r="B354" s="435">
        <v>3410</v>
      </c>
      <c r="C354" s="211">
        <f t="shared" si="547"/>
        <v>583610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</row>
    <row r="355" spans="1:144" ht="15.75" customHeight="1" x14ac:dyDescent="0.15">
      <c r="A355" s="421">
        <v>352</v>
      </c>
      <c r="B355" s="435">
        <v>3420</v>
      </c>
      <c r="C355" s="211">
        <f t="shared" si="547"/>
        <v>587030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</row>
    <row r="356" spans="1:144" ht="15.75" customHeight="1" x14ac:dyDescent="0.15">
      <c r="A356" s="421">
        <v>353</v>
      </c>
      <c r="B356" s="435">
        <v>3430</v>
      </c>
      <c r="C356" s="211">
        <f t="shared" si="547"/>
        <v>590460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</row>
    <row r="357" spans="1:144" ht="15.75" customHeight="1" x14ac:dyDescent="0.15">
      <c r="A357" s="421">
        <v>354</v>
      </c>
      <c r="B357" s="435">
        <v>3440</v>
      </c>
      <c r="C357" s="211">
        <f t="shared" si="547"/>
        <v>593900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</row>
    <row r="358" spans="1:144" ht="15.75" customHeight="1" x14ac:dyDescent="0.15">
      <c r="A358" s="421">
        <v>355</v>
      </c>
      <c r="B358" s="435">
        <v>3450</v>
      </c>
      <c r="C358" s="211">
        <f t="shared" si="547"/>
        <v>597350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</row>
    <row r="359" spans="1:144" ht="15.75" customHeight="1" x14ac:dyDescent="0.15">
      <c r="A359" s="421">
        <v>356</v>
      </c>
      <c r="B359" s="435">
        <v>3460</v>
      </c>
      <c r="C359" s="211">
        <f t="shared" si="547"/>
        <v>600810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</row>
    <row r="360" spans="1:144" ht="15.75" customHeight="1" x14ac:dyDescent="0.15">
      <c r="A360" s="421">
        <v>357</v>
      </c>
      <c r="B360" s="435">
        <v>3470</v>
      </c>
      <c r="C360" s="211">
        <f t="shared" si="547"/>
        <v>604280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</row>
    <row r="361" spans="1:144" ht="15.75" customHeight="1" x14ac:dyDescent="0.15">
      <c r="A361" s="421">
        <v>358</v>
      </c>
      <c r="B361" s="435">
        <v>3480</v>
      </c>
      <c r="C361" s="211">
        <f t="shared" si="547"/>
        <v>607760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</row>
    <row r="362" spans="1:144" ht="15.75" customHeight="1" x14ac:dyDescent="0.15">
      <c r="A362" s="421">
        <v>359</v>
      </c>
      <c r="B362" s="435">
        <v>3490</v>
      </c>
      <c r="C362" s="211">
        <f t="shared" si="547"/>
        <v>611250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</row>
    <row r="363" spans="1:144" ht="15.75" customHeight="1" x14ac:dyDescent="0.15">
      <c r="A363" s="421">
        <v>360</v>
      </c>
      <c r="B363" s="435">
        <v>3500</v>
      </c>
      <c r="C363" s="211">
        <f t="shared" si="547"/>
        <v>614750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</row>
    <row r="364" spans="1:144" ht="15.75" customHeight="1" x14ac:dyDescent="0.15">
      <c r="A364" s="421">
        <v>361</v>
      </c>
      <c r="B364" s="435">
        <v>3510</v>
      </c>
      <c r="C364" s="211">
        <f t="shared" si="547"/>
        <v>618260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</row>
    <row r="365" spans="1:144" ht="15.75" customHeight="1" x14ac:dyDescent="0.15">
      <c r="A365" s="421">
        <v>362</v>
      </c>
      <c r="B365" s="435">
        <v>3520</v>
      </c>
      <c r="C365" s="211">
        <f t="shared" si="547"/>
        <v>621780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</row>
    <row r="366" spans="1:144" ht="15.75" customHeight="1" x14ac:dyDescent="0.15">
      <c r="A366" s="421">
        <v>363</v>
      </c>
      <c r="B366" s="435">
        <v>3530</v>
      </c>
      <c r="C366" s="211">
        <f t="shared" si="547"/>
        <v>625310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</row>
    <row r="367" spans="1:144" ht="15.75" customHeight="1" x14ac:dyDescent="0.15">
      <c r="A367" s="421">
        <v>364</v>
      </c>
      <c r="B367" s="435">
        <v>3540</v>
      </c>
      <c r="C367" s="211">
        <f t="shared" si="547"/>
        <v>628850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</row>
    <row r="368" spans="1:144" ht="15.75" customHeight="1" x14ac:dyDescent="0.15">
      <c r="A368" s="421">
        <v>365</v>
      </c>
      <c r="B368" s="435">
        <v>3550</v>
      </c>
      <c r="C368" s="211">
        <f t="shared" si="547"/>
        <v>632400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</row>
    <row r="369" spans="1:144" ht="15.75" customHeight="1" x14ac:dyDescent="0.15">
      <c r="A369" s="421">
        <v>366</v>
      </c>
      <c r="B369" s="435">
        <v>3560</v>
      </c>
      <c r="C369" s="211">
        <f t="shared" si="547"/>
        <v>635960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</row>
    <row r="370" spans="1:144" ht="15.75" customHeight="1" x14ac:dyDescent="0.15">
      <c r="A370" s="421">
        <v>367</v>
      </c>
      <c r="B370" s="435">
        <v>3570</v>
      </c>
      <c r="C370" s="211">
        <f t="shared" si="547"/>
        <v>639530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</row>
    <row r="371" spans="1:144" ht="15.75" customHeight="1" x14ac:dyDescent="0.15">
      <c r="A371" s="421">
        <v>368</v>
      </c>
      <c r="B371" s="435">
        <v>3580</v>
      </c>
      <c r="C371" s="211">
        <f t="shared" si="547"/>
        <v>643110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</row>
    <row r="372" spans="1:144" ht="15.75" customHeight="1" x14ac:dyDescent="0.15">
      <c r="A372" s="421">
        <v>369</v>
      </c>
      <c r="B372" s="435">
        <v>3590</v>
      </c>
      <c r="C372" s="211">
        <f t="shared" si="547"/>
        <v>646700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</row>
    <row r="373" spans="1:144" ht="15.75" customHeight="1" x14ac:dyDescent="0.15">
      <c r="A373" s="421">
        <v>370</v>
      </c>
      <c r="B373" s="435">
        <v>3600</v>
      </c>
      <c r="C373" s="211">
        <f t="shared" si="547"/>
        <v>650300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</row>
    <row r="374" spans="1:144" ht="15.75" customHeight="1" x14ac:dyDescent="0.15">
      <c r="A374" s="421">
        <v>371</v>
      </c>
      <c r="B374" s="435">
        <v>3610</v>
      </c>
      <c r="C374" s="211">
        <f t="shared" si="547"/>
        <v>653910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</row>
    <row r="375" spans="1:144" ht="15.75" customHeight="1" x14ac:dyDescent="0.15">
      <c r="A375" s="421">
        <v>372</v>
      </c>
      <c r="B375" s="435">
        <v>3620</v>
      </c>
      <c r="C375" s="211">
        <f t="shared" si="547"/>
        <v>657530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</row>
    <row r="376" spans="1:144" ht="15.75" customHeight="1" x14ac:dyDescent="0.15">
      <c r="A376" s="421">
        <v>373</v>
      </c>
      <c r="B376" s="435">
        <v>3620</v>
      </c>
      <c r="C376" s="211">
        <f t="shared" si="547"/>
        <v>661150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</row>
    <row r="377" spans="1:144" ht="15.75" customHeight="1" x14ac:dyDescent="0.15">
      <c r="A377" s="421">
        <v>374</v>
      </c>
      <c r="B377" s="211">
        <v>3620</v>
      </c>
      <c r="C377" s="211">
        <f t="shared" si="547"/>
        <v>664770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</row>
    <row r="378" spans="1:144" ht="15.75" customHeight="1" x14ac:dyDescent="0.15">
      <c r="A378" s="421">
        <v>375</v>
      </c>
      <c r="B378" s="211">
        <v>3620</v>
      </c>
      <c r="C378" s="211">
        <f t="shared" si="547"/>
        <v>668390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</row>
    <row r="379" spans="1:144" ht="15.75" customHeight="1" x14ac:dyDescent="0.15">
      <c r="A379" s="421">
        <v>376</v>
      </c>
      <c r="B379" s="211">
        <v>3620</v>
      </c>
      <c r="C379" s="211">
        <f t="shared" si="547"/>
        <v>672010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</row>
    <row r="380" spans="1:144" ht="15.75" customHeight="1" x14ac:dyDescent="0.15">
      <c r="A380" s="421">
        <v>377</v>
      </c>
      <c r="B380" s="211">
        <v>3620</v>
      </c>
      <c r="C380" s="211">
        <f t="shared" si="547"/>
        <v>675630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</row>
    <row r="381" spans="1:144" ht="15.75" customHeight="1" x14ac:dyDescent="0.15">
      <c r="A381" s="421">
        <v>378</v>
      </c>
      <c r="B381" s="211">
        <v>3620</v>
      </c>
      <c r="C381" s="211">
        <f t="shared" si="547"/>
        <v>679250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</row>
    <row r="382" spans="1:144" ht="15.75" customHeight="1" x14ac:dyDescent="0.15">
      <c r="A382" s="421">
        <v>379</v>
      </c>
      <c r="B382" s="211">
        <v>3620</v>
      </c>
      <c r="C382" s="211">
        <f t="shared" si="547"/>
        <v>682870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</row>
    <row r="383" spans="1:144" ht="15.75" customHeight="1" x14ac:dyDescent="0.15">
      <c r="A383" s="421">
        <v>380</v>
      </c>
      <c r="B383" s="211">
        <v>3620</v>
      </c>
      <c r="C383" s="211">
        <f t="shared" si="547"/>
        <v>686490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</row>
    <row r="384" spans="1:144" ht="15.75" customHeight="1" x14ac:dyDescent="0.15">
      <c r="A384" s="421">
        <v>381</v>
      </c>
      <c r="B384" s="211">
        <v>3620</v>
      </c>
      <c r="C384" s="211">
        <f t="shared" si="547"/>
        <v>690110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</row>
    <row r="385" spans="1:144" ht="15.75" customHeight="1" x14ac:dyDescent="0.15">
      <c r="A385" s="421">
        <v>382</v>
      </c>
      <c r="B385" s="211">
        <v>3620</v>
      </c>
      <c r="C385" s="211">
        <f t="shared" si="547"/>
        <v>693730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</row>
    <row r="386" spans="1:144" ht="15.75" customHeight="1" x14ac:dyDescent="0.15">
      <c r="A386" s="421">
        <v>383</v>
      </c>
      <c r="B386" s="211">
        <v>3620</v>
      </c>
      <c r="C386" s="211">
        <f t="shared" si="547"/>
        <v>697350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</row>
    <row r="387" spans="1:144" ht="15.75" customHeight="1" x14ac:dyDescent="0.15">
      <c r="A387" s="421">
        <v>384</v>
      </c>
      <c r="B387" s="211">
        <v>3620</v>
      </c>
      <c r="C387" s="211">
        <f t="shared" si="547"/>
        <v>700970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</row>
    <row r="388" spans="1:144" ht="15.75" customHeight="1" x14ac:dyDescent="0.15">
      <c r="A388" s="421">
        <v>385</v>
      </c>
      <c r="B388" s="211">
        <v>3620</v>
      </c>
      <c r="C388" s="211">
        <f t="shared" si="547"/>
        <v>704590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</row>
    <row r="389" spans="1:144" ht="15.75" customHeight="1" x14ac:dyDescent="0.15">
      <c r="A389" s="421">
        <v>386</v>
      </c>
      <c r="B389" s="211">
        <v>3620</v>
      </c>
      <c r="C389" s="211">
        <f t="shared" si="547"/>
        <v>708210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</row>
    <row r="390" spans="1:144" ht="15.75" customHeight="1" x14ac:dyDescent="0.15">
      <c r="A390" s="421">
        <v>387</v>
      </c>
      <c r="B390" s="211">
        <v>3620</v>
      </c>
      <c r="C390" s="211">
        <f t="shared" si="547"/>
        <v>711830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</row>
    <row r="391" spans="1:144" ht="15.75" customHeight="1" x14ac:dyDescent="0.15">
      <c r="A391" s="421">
        <v>388</v>
      </c>
      <c r="B391" s="211">
        <v>3620</v>
      </c>
      <c r="C391" s="211">
        <f t="shared" si="547"/>
        <v>715450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</row>
    <row r="392" spans="1:144" ht="15.75" customHeight="1" x14ac:dyDescent="0.15">
      <c r="A392" s="421">
        <v>389</v>
      </c>
      <c r="B392" s="211">
        <v>3620</v>
      </c>
      <c r="C392" s="211">
        <f t="shared" si="547"/>
        <v>719070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</row>
    <row r="393" spans="1:144" ht="15.75" customHeight="1" x14ac:dyDescent="0.15">
      <c r="A393" s="421">
        <v>390</v>
      </c>
      <c r="B393" s="211">
        <v>3620</v>
      </c>
      <c r="C393" s="211">
        <f t="shared" si="547"/>
        <v>722690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</row>
    <row r="394" spans="1:144" ht="15.75" customHeight="1" x14ac:dyDescent="0.15">
      <c r="A394" s="421">
        <v>391</v>
      </c>
      <c r="B394" s="211">
        <v>3620</v>
      </c>
      <c r="C394" s="211">
        <f t="shared" si="547"/>
        <v>726310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</row>
    <row r="395" spans="1:144" ht="15.75" customHeight="1" x14ac:dyDescent="0.15">
      <c r="A395" s="421">
        <v>392</v>
      </c>
      <c r="B395" s="211">
        <v>3620</v>
      </c>
      <c r="C395" s="211">
        <f t="shared" si="547"/>
        <v>729930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</row>
    <row r="396" spans="1:144" ht="15.75" customHeight="1" x14ac:dyDescent="0.15">
      <c r="A396" s="421">
        <v>393</v>
      </c>
      <c r="B396" s="211">
        <v>3620</v>
      </c>
      <c r="C396" s="211">
        <f t="shared" si="547"/>
        <v>733550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</row>
    <row r="397" spans="1:144" ht="15.75" customHeight="1" x14ac:dyDescent="0.15">
      <c r="A397" s="421">
        <v>394</v>
      </c>
      <c r="B397" s="211">
        <v>3620</v>
      </c>
      <c r="C397" s="211">
        <f t="shared" si="547"/>
        <v>737170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</row>
    <row r="398" spans="1:144" ht="15.75" customHeight="1" x14ac:dyDescent="0.15">
      <c r="A398" s="421">
        <v>395</v>
      </c>
      <c r="B398" s="211">
        <v>3620</v>
      </c>
      <c r="C398" s="211">
        <f t="shared" si="547"/>
        <v>740790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</row>
    <row r="399" spans="1:144" ht="15.75" customHeight="1" x14ac:dyDescent="0.15">
      <c r="A399" s="421">
        <v>396</v>
      </c>
      <c r="B399" s="211">
        <v>3620</v>
      </c>
      <c r="C399" s="211">
        <f t="shared" si="547"/>
        <v>744410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</row>
    <row r="400" spans="1:144" ht="15.75" customHeight="1" x14ac:dyDescent="0.15">
      <c r="A400" s="421">
        <v>397</v>
      </c>
      <c r="B400" s="211">
        <v>3620</v>
      </c>
      <c r="C400" s="211">
        <f t="shared" si="547"/>
        <v>748030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</row>
    <row r="401" spans="1:144" ht="15.75" customHeight="1" x14ac:dyDescent="0.15">
      <c r="A401" s="421">
        <v>398</v>
      </c>
      <c r="B401" s="211">
        <v>3620</v>
      </c>
      <c r="C401" s="211">
        <f t="shared" si="547"/>
        <v>751650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</row>
    <row r="402" spans="1:144" ht="15.75" customHeight="1" x14ac:dyDescent="0.15">
      <c r="A402" s="421">
        <v>399</v>
      </c>
      <c r="B402" s="211">
        <v>3620</v>
      </c>
      <c r="C402" s="211">
        <f t="shared" si="547"/>
        <v>755270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</row>
    <row r="403" spans="1:144" ht="15.75" customHeight="1" x14ac:dyDescent="0.15">
      <c r="A403" s="421">
        <v>400</v>
      </c>
      <c r="B403" s="211">
        <v>3800</v>
      </c>
      <c r="C403" s="211">
        <f t="shared" si="547"/>
        <v>759070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</row>
    <row r="404" spans="1:144" ht="15.75" customHeight="1" x14ac:dyDescent="0.15">
      <c r="A404" s="421">
        <v>401</v>
      </c>
      <c r="B404" s="211">
        <v>3850</v>
      </c>
      <c r="C404" s="211">
        <f t="shared" si="547"/>
        <v>762920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</row>
    <row r="405" spans="1:144" ht="15.75" customHeight="1" x14ac:dyDescent="0.15">
      <c r="A405" s="421">
        <v>402</v>
      </c>
      <c r="B405" s="211">
        <v>3900</v>
      </c>
      <c r="C405" s="211">
        <f t="shared" si="547"/>
        <v>766820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</row>
    <row r="406" spans="1:144" ht="15.75" customHeight="1" x14ac:dyDescent="0.15">
      <c r="A406" s="421">
        <v>403</v>
      </c>
      <c r="B406" s="211">
        <v>3950</v>
      </c>
      <c r="C406" s="211">
        <f t="shared" si="547"/>
        <v>770770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</row>
    <row r="407" spans="1:144" ht="15.75" customHeight="1" x14ac:dyDescent="0.15">
      <c r="A407" s="421">
        <v>404</v>
      </c>
      <c r="B407" s="211">
        <v>4000</v>
      </c>
      <c r="C407" s="211">
        <f t="shared" si="547"/>
        <v>774770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</row>
    <row r="408" spans="1:144" ht="15.75" customHeight="1" x14ac:dyDescent="0.15">
      <c r="A408" s="421">
        <v>405</v>
      </c>
      <c r="B408" s="211">
        <v>4200</v>
      </c>
      <c r="C408" s="211">
        <f t="shared" si="547"/>
        <v>778970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</row>
    <row r="409" spans="1:144" ht="15.75" customHeight="1" x14ac:dyDescent="0.15">
      <c r="A409" s="421">
        <v>406</v>
      </c>
      <c r="B409" s="211">
        <v>4250</v>
      </c>
      <c r="C409" s="211">
        <f t="shared" si="547"/>
        <v>783220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</row>
    <row r="410" spans="1:144" ht="15.75" customHeight="1" x14ac:dyDescent="0.15">
      <c r="A410" s="421">
        <v>407</v>
      </c>
      <c r="B410" s="211">
        <v>4300</v>
      </c>
      <c r="C410" s="211">
        <f t="shared" si="547"/>
        <v>787520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</row>
    <row r="411" spans="1:144" ht="15.75" customHeight="1" x14ac:dyDescent="0.15">
      <c r="A411" s="421">
        <v>408</v>
      </c>
      <c r="B411" s="211">
        <v>4350</v>
      </c>
      <c r="C411" s="211">
        <f t="shared" si="547"/>
        <v>791870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</row>
    <row r="412" spans="1:144" ht="15.75" customHeight="1" x14ac:dyDescent="0.15">
      <c r="A412" s="421">
        <v>409</v>
      </c>
      <c r="B412" s="211">
        <v>4400</v>
      </c>
      <c r="C412" s="211">
        <f t="shared" si="547"/>
        <v>796270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</row>
    <row r="413" spans="1:144" ht="15.75" customHeight="1" x14ac:dyDescent="0.15">
      <c r="A413" s="421">
        <v>410</v>
      </c>
      <c r="B413" s="211">
        <v>4450</v>
      </c>
      <c r="C413" s="211">
        <f t="shared" si="547"/>
        <v>800720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</row>
    <row r="414" spans="1:144" ht="15.75" customHeight="1" x14ac:dyDescent="0.15">
      <c r="A414" s="421">
        <v>411</v>
      </c>
      <c r="B414" s="211">
        <v>4500</v>
      </c>
      <c r="C414" s="211">
        <f t="shared" si="547"/>
        <v>805220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</row>
    <row r="415" spans="1:144" ht="15.75" customHeight="1" x14ac:dyDescent="0.15">
      <c r="A415" s="421">
        <v>412</v>
      </c>
      <c r="B415" s="211">
        <v>4550</v>
      </c>
      <c r="C415" s="211">
        <f t="shared" si="547"/>
        <v>809770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</row>
    <row r="416" spans="1:144" ht="15.75" customHeight="1" x14ac:dyDescent="0.15">
      <c r="A416" s="421">
        <v>413</v>
      </c>
      <c r="B416" s="211">
        <v>4600</v>
      </c>
      <c r="C416" s="211">
        <f t="shared" si="547"/>
        <v>814370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</row>
    <row r="417" spans="1:144" ht="15.75" customHeight="1" x14ac:dyDescent="0.15">
      <c r="A417" s="421">
        <v>414</v>
      </c>
      <c r="B417" s="211">
        <v>4650</v>
      </c>
      <c r="C417" s="211">
        <f t="shared" si="547"/>
        <v>819020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</row>
    <row r="418" spans="1:144" ht="15.75" customHeight="1" x14ac:dyDescent="0.15">
      <c r="A418" s="421">
        <v>415</v>
      </c>
      <c r="B418" s="211">
        <v>4700</v>
      </c>
      <c r="C418" s="211">
        <f t="shared" si="547"/>
        <v>823720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</row>
    <row r="419" spans="1:144" ht="15.75" customHeight="1" x14ac:dyDescent="0.15">
      <c r="A419" s="421">
        <v>416</v>
      </c>
      <c r="B419" s="211">
        <v>4750</v>
      </c>
      <c r="C419" s="211">
        <f t="shared" si="547"/>
        <v>828470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</row>
    <row r="420" spans="1:144" ht="15.75" customHeight="1" x14ac:dyDescent="0.15">
      <c r="A420" s="421">
        <v>417</v>
      </c>
      <c r="B420" s="211">
        <v>4800</v>
      </c>
      <c r="C420" s="211">
        <f t="shared" si="547"/>
        <v>833270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</row>
    <row r="421" spans="1:144" ht="15.75" customHeight="1" x14ac:dyDescent="0.15">
      <c r="A421" s="421">
        <v>418</v>
      </c>
      <c r="B421" s="211">
        <v>4850</v>
      </c>
      <c r="C421" s="211">
        <f t="shared" si="547"/>
        <v>838120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</row>
    <row r="422" spans="1:144" ht="15.75" customHeight="1" x14ac:dyDescent="0.15">
      <c r="A422" s="421">
        <v>419</v>
      </c>
      <c r="B422" s="211">
        <v>4900</v>
      </c>
      <c r="C422" s="211">
        <f t="shared" si="547"/>
        <v>843020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</row>
    <row r="423" spans="1:144" ht="15.75" customHeight="1" x14ac:dyDescent="0.15">
      <c r="A423" s="421">
        <v>420</v>
      </c>
      <c r="B423" s="211">
        <v>5000</v>
      </c>
      <c r="C423" s="211">
        <f t="shared" si="547"/>
        <v>848020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</row>
    <row r="424" spans="1:144" ht="15.75" customHeight="1" x14ac:dyDescent="0.15">
      <c r="A424" s="421">
        <v>421</v>
      </c>
      <c r="B424" s="211">
        <v>5100</v>
      </c>
      <c r="C424" s="211">
        <f t="shared" si="547"/>
        <v>853120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</row>
    <row r="425" spans="1:144" ht="15.75" customHeight="1" x14ac:dyDescent="0.15">
      <c r="A425" s="421">
        <v>422</v>
      </c>
      <c r="B425" s="211">
        <v>5200</v>
      </c>
      <c r="C425" s="211">
        <f t="shared" si="547"/>
        <v>858320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</row>
    <row r="426" spans="1:144" ht="15.75" customHeight="1" x14ac:dyDescent="0.15">
      <c r="A426" s="421">
        <v>423</v>
      </c>
      <c r="B426" s="211">
        <v>5300</v>
      </c>
      <c r="C426" s="211">
        <f t="shared" si="547"/>
        <v>863620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</row>
    <row r="427" spans="1:144" ht="15.75" customHeight="1" x14ac:dyDescent="0.15">
      <c r="A427" s="421">
        <v>424</v>
      </c>
      <c r="B427" s="211">
        <v>5400</v>
      </c>
      <c r="C427" s="211">
        <f t="shared" si="547"/>
        <v>869020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</row>
    <row r="428" spans="1:144" ht="15.75" customHeight="1" x14ac:dyDescent="0.15">
      <c r="A428" s="421">
        <v>425</v>
      </c>
      <c r="B428" s="211">
        <v>5500</v>
      </c>
      <c r="C428" s="211">
        <f t="shared" si="547"/>
        <v>874520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</row>
    <row r="429" spans="1:144" ht="15.75" customHeight="1" x14ac:dyDescent="0.15">
      <c r="A429" s="421">
        <v>426</v>
      </c>
      <c r="B429" s="211">
        <v>5600</v>
      </c>
      <c r="C429" s="211">
        <f t="shared" si="547"/>
        <v>880120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</row>
    <row r="430" spans="1:144" ht="15.75" customHeight="1" x14ac:dyDescent="0.15">
      <c r="A430" s="421">
        <v>427</v>
      </c>
      <c r="B430" s="211"/>
      <c r="C430" s="211">
        <f t="shared" si="547"/>
        <v>880120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</row>
    <row r="431" spans="1:144" ht="15.75" customHeight="1" x14ac:dyDescent="0.15">
      <c r="A431" s="421">
        <v>428</v>
      </c>
      <c r="B431" s="211"/>
      <c r="C431" s="211">
        <f t="shared" si="547"/>
        <v>880120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</row>
    <row r="432" spans="1:144" ht="15.75" customHeight="1" x14ac:dyDescent="0.15">
      <c r="A432" s="421">
        <v>429</v>
      </c>
      <c r="B432" s="211"/>
      <c r="C432" s="211">
        <f t="shared" si="547"/>
        <v>880120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</row>
    <row r="433" spans="1:144" ht="15.75" customHeight="1" x14ac:dyDescent="0.15">
      <c r="A433" s="421">
        <v>430</v>
      </c>
      <c r="B433" s="211"/>
      <c r="C433" s="211">
        <f t="shared" si="547"/>
        <v>880120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</row>
    <row r="434" spans="1:144" ht="15.75" customHeight="1" x14ac:dyDescent="0.15">
      <c r="A434" s="421">
        <v>431</v>
      </c>
      <c r="B434" s="211"/>
      <c r="C434" s="211">
        <f t="shared" si="547"/>
        <v>880120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</row>
    <row r="435" spans="1:144" ht="15.75" customHeight="1" x14ac:dyDescent="0.15">
      <c r="A435" s="421">
        <v>432</v>
      </c>
      <c r="B435" s="211"/>
      <c r="C435" s="211">
        <f t="shared" si="547"/>
        <v>880120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</row>
    <row r="436" spans="1:144" ht="15.75" customHeight="1" x14ac:dyDescent="0.15">
      <c r="A436" s="421">
        <v>433</v>
      </c>
      <c r="B436" s="211"/>
      <c r="C436" s="211">
        <f t="shared" si="547"/>
        <v>880120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</row>
    <row r="437" spans="1:144" ht="15.75" customHeight="1" x14ac:dyDescent="0.15">
      <c r="A437" s="421">
        <v>434</v>
      </c>
      <c r="B437" s="211"/>
      <c r="C437" s="211">
        <f t="shared" si="547"/>
        <v>880120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</row>
    <row r="438" spans="1:144" ht="15.75" customHeight="1" x14ac:dyDescent="0.15">
      <c r="A438" s="421">
        <v>435</v>
      </c>
      <c r="B438" s="211"/>
      <c r="C438" s="211">
        <f t="shared" si="547"/>
        <v>880120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</row>
    <row r="439" spans="1:144" ht="15.75" customHeight="1" x14ac:dyDescent="0.15">
      <c r="A439" s="421">
        <v>436</v>
      </c>
      <c r="B439" s="211"/>
      <c r="C439" s="211">
        <f t="shared" si="547"/>
        <v>880120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</row>
    <row r="440" spans="1:144" ht="15.75" customHeight="1" x14ac:dyDescent="0.15">
      <c r="A440" s="421">
        <v>437</v>
      </c>
      <c r="B440" s="211"/>
      <c r="C440" s="211">
        <f t="shared" si="547"/>
        <v>880120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</row>
    <row r="441" spans="1:144" ht="15.75" customHeight="1" x14ac:dyDescent="0.15">
      <c r="A441" s="421">
        <v>438</v>
      </c>
      <c r="B441" s="211"/>
      <c r="C441" s="211">
        <f t="shared" si="547"/>
        <v>880120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</row>
    <row r="442" spans="1:144" ht="15.75" customHeight="1" x14ac:dyDescent="0.15">
      <c r="A442" s="421">
        <v>439</v>
      </c>
      <c r="B442" s="211"/>
      <c r="C442" s="211">
        <f t="shared" si="547"/>
        <v>880120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</row>
    <row r="443" spans="1:144" ht="15.75" customHeight="1" x14ac:dyDescent="0.15">
      <c r="A443" s="421">
        <v>440</v>
      </c>
      <c r="B443" s="211"/>
      <c r="C443" s="211">
        <f t="shared" si="547"/>
        <v>880120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</row>
    <row r="444" spans="1:144" ht="15.75" customHeight="1" x14ac:dyDescent="0.15">
      <c r="A444" s="421">
        <v>441</v>
      </c>
      <c r="B444" s="211"/>
      <c r="C444" s="211">
        <f t="shared" si="547"/>
        <v>880120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</row>
    <row r="445" spans="1:144" ht="15.75" customHeight="1" x14ac:dyDescent="0.15">
      <c r="A445" s="421">
        <v>442</v>
      </c>
      <c r="B445" s="211"/>
      <c r="C445" s="211">
        <f t="shared" si="547"/>
        <v>880120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</row>
    <row r="446" spans="1:144" ht="15.75" customHeight="1" x14ac:dyDescent="0.15">
      <c r="A446" s="421">
        <v>443</v>
      </c>
      <c r="B446" s="211"/>
      <c r="C446" s="211">
        <f t="shared" si="547"/>
        <v>880120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</row>
    <row r="447" spans="1:144" ht="15.75" customHeight="1" x14ac:dyDescent="0.15">
      <c r="A447" s="421">
        <v>444</v>
      </c>
      <c r="B447" s="211"/>
      <c r="C447" s="211">
        <f t="shared" si="547"/>
        <v>880120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</row>
    <row r="448" spans="1:144" ht="15.75" customHeight="1" x14ac:dyDescent="0.15">
      <c r="A448" s="421">
        <v>445</v>
      </c>
      <c r="B448" s="211">
        <v>7800</v>
      </c>
      <c r="C448" s="211">
        <f t="shared" si="547"/>
        <v>887920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</row>
    <row r="449" spans="1:144" ht="15.75" customHeight="1" x14ac:dyDescent="0.15">
      <c r="A449" s="421">
        <v>446</v>
      </c>
      <c r="B449" s="211"/>
      <c r="C449" s="211">
        <f t="shared" si="547"/>
        <v>887920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</row>
    <row r="450" spans="1:144" ht="15.75" customHeight="1" x14ac:dyDescent="0.15">
      <c r="A450" s="421">
        <v>447</v>
      </c>
      <c r="B450" s="211"/>
      <c r="C450" s="211">
        <f t="shared" si="547"/>
        <v>887920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</row>
    <row r="451" spans="1:144" ht="15.75" customHeight="1" x14ac:dyDescent="0.15">
      <c r="A451" s="421">
        <v>448</v>
      </c>
      <c r="B451" s="211"/>
      <c r="C451" s="211">
        <f t="shared" si="547"/>
        <v>887920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</row>
    <row r="452" spans="1:144" ht="15.75" customHeight="1" x14ac:dyDescent="0.15">
      <c r="A452" s="421">
        <v>449</v>
      </c>
      <c r="B452" s="211">
        <v>8500</v>
      </c>
      <c r="C452" s="211">
        <f t="shared" si="547"/>
        <v>896420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</row>
    <row r="453" spans="1:144" ht="15.75" customHeight="1" x14ac:dyDescent="0.15">
      <c r="A453" s="421">
        <v>450</v>
      </c>
      <c r="B453" s="211"/>
      <c r="C453" s="211">
        <f t="shared" si="547"/>
        <v>896420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</row>
    <row r="454" spans="1:144" ht="15.75" customHeight="1" x14ac:dyDescent="0.15">
      <c r="A454" s="421">
        <v>451</v>
      </c>
      <c r="B454" s="211"/>
      <c r="C454" s="211">
        <f t="shared" si="547"/>
        <v>896420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</row>
    <row r="455" spans="1:144" ht="15.75" customHeight="1" x14ac:dyDescent="0.15">
      <c r="A455" s="421">
        <v>452</v>
      </c>
      <c r="B455" s="211"/>
      <c r="C455" s="211">
        <f t="shared" si="547"/>
        <v>896420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</row>
    <row r="456" spans="1:144" ht="15.75" customHeight="1" x14ac:dyDescent="0.15">
      <c r="A456" s="421">
        <v>453</v>
      </c>
      <c r="B456" s="211"/>
      <c r="C456" s="211">
        <f t="shared" si="547"/>
        <v>896420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</row>
    <row r="457" spans="1:144" ht="15.75" customHeight="1" x14ac:dyDescent="0.15">
      <c r="A457" s="421">
        <v>454</v>
      </c>
      <c r="B457" s="211"/>
      <c r="C457" s="211">
        <f t="shared" si="547"/>
        <v>896420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</row>
    <row r="458" spans="1:144" ht="15.75" customHeight="1" x14ac:dyDescent="0.15">
      <c r="A458" s="421">
        <v>455</v>
      </c>
      <c r="B458" s="211">
        <v>9300</v>
      </c>
      <c r="C458" s="211">
        <f t="shared" si="547"/>
        <v>905720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</row>
    <row r="459" spans="1:144" ht="15.75" customHeight="1" x14ac:dyDescent="0.15">
      <c r="A459" s="421">
        <v>456</v>
      </c>
      <c r="B459" s="211">
        <v>9450</v>
      </c>
      <c r="C459" s="211">
        <f t="shared" si="547"/>
        <v>915170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</row>
    <row r="460" spans="1:144" ht="15.75" customHeight="1" x14ac:dyDescent="0.15">
      <c r="A460" s="421">
        <v>457</v>
      </c>
      <c r="B460" s="211">
        <v>9600</v>
      </c>
      <c r="C460" s="211">
        <f t="shared" si="547"/>
        <v>924770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</row>
    <row r="461" spans="1:144" ht="15.75" customHeight="1" x14ac:dyDescent="0.15">
      <c r="A461" s="421">
        <v>458</v>
      </c>
      <c r="B461" s="211">
        <v>9750</v>
      </c>
      <c r="C461" s="211">
        <f t="shared" si="547"/>
        <v>934520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</row>
    <row r="462" spans="1:144" ht="15.75" customHeight="1" x14ac:dyDescent="0.15">
      <c r="A462" s="421">
        <v>459</v>
      </c>
      <c r="B462" s="211">
        <v>9900</v>
      </c>
      <c r="C462" s="211">
        <f t="shared" si="547"/>
        <v>944420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</row>
    <row r="463" spans="1:144" ht="15.75" customHeight="1" x14ac:dyDescent="0.15">
      <c r="A463" s="421">
        <v>460</v>
      </c>
      <c r="B463" s="211">
        <v>10000</v>
      </c>
      <c r="C463" s="211">
        <f t="shared" si="547"/>
        <v>954420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</row>
    <row r="464" spans="1:144" ht="15.75" customHeight="1" x14ac:dyDescent="0.15">
      <c r="A464" s="421">
        <v>461</v>
      </c>
      <c r="B464" s="462">
        <v>10200</v>
      </c>
      <c r="C464" s="211">
        <f t="shared" si="547"/>
        <v>964620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</row>
    <row r="465" spans="1:144" ht="15.75" customHeight="1" x14ac:dyDescent="0.15">
      <c r="A465" s="421">
        <v>462</v>
      </c>
      <c r="B465" s="462">
        <v>10400</v>
      </c>
      <c r="C465" s="211">
        <f t="shared" si="547"/>
        <v>975020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</row>
    <row r="466" spans="1:144" ht="15.75" customHeight="1" x14ac:dyDescent="0.15">
      <c r="A466" s="421">
        <v>463</v>
      </c>
      <c r="B466" s="462">
        <v>10600</v>
      </c>
      <c r="C466" s="211">
        <f t="shared" si="547"/>
        <v>985620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</row>
    <row r="467" spans="1:144" ht="15.75" customHeight="1" x14ac:dyDescent="0.15">
      <c r="A467" s="421">
        <v>464</v>
      </c>
      <c r="B467" s="462">
        <v>10800</v>
      </c>
      <c r="C467" s="211">
        <f t="shared" si="547"/>
        <v>996420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</row>
    <row r="468" spans="1:144" ht="15.75" customHeight="1" x14ac:dyDescent="0.15">
      <c r="A468" s="421">
        <v>465</v>
      </c>
      <c r="B468" s="462">
        <v>11000</v>
      </c>
      <c r="C468" s="211">
        <f t="shared" si="547"/>
        <v>1007420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</row>
    <row r="469" spans="1:144" ht="15.75" customHeight="1" x14ac:dyDescent="0.15">
      <c r="A469" s="421">
        <v>466</v>
      </c>
      <c r="B469" s="211">
        <v>11300</v>
      </c>
      <c r="C469" s="211">
        <f t="shared" si="547"/>
        <v>1018720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</row>
    <row r="470" spans="1:144" ht="15.75" customHeight="1" x14ac:dyDescent="0.15">
      <c r="A470" s="421">
        <v>467</v>
      </c>
      <c r="B470" s="211"/>
      <c r="C470" s="211">
        <f t="shared" si="547"/>
        <v>1018720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</row>
    <row r="471" spans="1:144" ht="15.75" customHeight="1" x14ac:dyDescent="0.15">
      <c r="A471" s="421">
        <v>468</v>
      </c>
      <c r="B471" s="211"/>
      <c r="C471" s="211">
        <f t="shared" si="547"/>
        <v>1018720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</row>
    <row r="472" spans="1:144" ht="15.75" customHeight="1" x14ac:dyDescent="0.15">
      <c r="A472" s="421">
        <v>469</v>
      </c>
      <c r="B472" s="211"/>
      <c r="C472" s="211">
        <f t="shared" si="547"/>
        <v>1018720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</row>
    <row r="473" spans="1:144" ht="15.75" customHeight="1" x14ac:dyDescent="0.15">
      <c r="A473" s="421">
        <v>470</v>
      </c>
      <c r="B473" s="211"/>
      <c r="C473" s="211">
        <f t="shared" si="547"/>
        <v>1018720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</row>
    <row r="474" spans="1:144" ht="15.75" customHeight="1" x14ac:dyDescent="0.15">
      <c r="A474" s="421">
        <v>471</v>
      </c>
      <c r="B474" s="211"/>
      <c r="C474" s="211">
        <f t="shared" si="547"/>
        <v>1018720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</row>
    <row r="475" spans="1:144" ht="15.75" customHeight="1" x14ac:dyDescent="0.15">
      <c r="A475" s="421">
        <v>472</v>
      </c>
      <c r="B475" s="211"/>
      <c r="C475" s="211">
        <f t="shared" si="547"/>
        <v>1018720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</row>
    <row r="476" spans="1:144" ht="15.75" customHeight="1" x14ac:dyDescent="0.15">
      <c r="A476" s="421">
        <v>473</v>
      </c>
      <c r="B476" s="211"/>
      <c r="C476" s="211">
        <f t="shared" si="547"/>
        <v>1018720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</row>
    <row r="477" spans="1:144" ht="15.75" customHeight="1" x14ac:dyDescent="0.15">
      <c r="A477" s="421">
        <v>474</v>
      </c>
      <c r="B477" s="211"/>
      <c r="C477" s="211">
        <f t="shared" si="547"/>
        <v>1018720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</row>
    <row r="478" spans="1:144" ht="15.75" customHeight="1" x14ac:dyDescent="0.15">
      <c r="A478" s="421">
        <v>475</v>
      </c>
      <c r="B478" s="211"/>
      <c r="C478" s="211">
        <f t="shared" si="547"/>
        <v>1018720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</row>
    <row r="479" spans="1:144" ht="15.75" customHeight="1" x14ac:dyDescent="0.15">
      <c r="A479" s="421">
        <v>476</v>
      </c>
      <c r="B479" s="211"/>
      <c r="C479" s="211">
        <f t="shared" si="547"/>
        <v>1018720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</row>
    <row r="480" spans="1:144" ht="15.75" customHeight="1" x14ac:dyDescent="0.15">
      <c r="A480" s="421">
        <v>477</v>
      </c>
      <c r="B480" s="211"/>
      <c r="C480" s="211">
        <f t="shared" si="547"/>
        <v>1018720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</row>
    <row r="481" spans="1:144" ht="15.75" customHeight="1" x14ac:dyDescent="0.15">
      <c r="A481" s="421">
        <v>478</v>
      </c>
      <c r="B481" s="211"/>
      <c r="C481" s="211">
        <f t="shared" si="547"/>
        <v>1018720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</row>
    <row r="482" spans="1:144" ht="15.75" customHeight="1" x14ac:dyDescent="0.15">
      <c r="A482" s="421">
        <v>479</v>
      </c>
      <c r="B482" s="211"/>
      <c r="C482" s="211">
        <f t="shared" si="547"/>
        <v>1018720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</row>
    <row r="483" spans="1:144" ht="15.75" customHeight="1" x14ac:dyDescent="0.15">
      <c r="A483" s="421">
        <v>480</v>
      </c>
      <c r="B483" s="211"/>
      <c r="C483" s="211">
        <f t="shared" si="547"/>
        <v>1018720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</row>
    <row r="484" spans="1:144" ht="15.75" customHeight="1" x14ac:dyDescent="0.15">
      <c r="A484" s="421">
        <v>481</v>
      </c>
      <c r="B484" s="211"/>
      <c r="C484" s="211">
        <f t="shared" si="547"/>
        <v>1018720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</row>
    <row r="485" spans="1:144" ht="15.75" customHeight="1" x14ac:dyDescent="0.15">
      <c r="A485" s="421">
        <v>482</v>
      </c>
      <c r="B485" s="211"/>
      <c r="C485" s="211">
        <f t="shared" si="547"/>
        <v>1018720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</row>
    <row r="486" spans="1:144" ht="15.75" customHeight="1" x14ac:dyDescent="0.15">
      <c r="A486" s="421">
        <v>483</v>
      </c>
      <c r="B486" s="211"/>
      <c r="C486" s="211">
        <f t="shared" si="547"/>
        <v>1018720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</row>
    <row r="487" spans="1:144" ht="15.75" customHeight="1" x14ac:dyDescent="0.15">
      <c r="A487" s="421">
        <v>484</v>
      </c>
      <c r="B487" s="211"/>
      <c r="C487" s="211">
        <f t="shared" si="547"/>
        <v>1018720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</row>
    <row r="488" spans="1:144" ht="15.75" customHeight="1" x14ac:dyDescent="0.15">
      <c r="A488" s="421">
        <v>485</v>
      </c>
      <c r="B488" s="211"/>
      <c r="C488" s="211">
        <f t="shared" si="547"/>
        <v>1018720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</row>
    <row r="489" spans="1:144" ht="15.75" customHeight="1" x14ac:dyDescent="0.15">
      <c r="A489" s="421">
        <v>486</v>
      </c>
      <c r="B489" s="211"/>
      <c r="C489" s="211">
        <f t="shared" si="547"/>
        <v>1018720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</row>
    <row r="490" spans="1:144" ht="15.75" customHeight="1" x14ac:dyDescent="0.15">
      <c r="A490" s="421">
        <v>487</v>
      </c>
      <c r="B490" s="211"/>
      <c r="C490" s="211">
        <f t="shared" si="547"/>
        <v>1018720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</row>
    <row r="491" spans="1:144" ht="15.75" customHeight="1" x14ac:dyDescent="0.15">
      <c r="A491" s="421">
        <v>488</v>
      </c>
      <c r="B491" s="211"/>
      <c r="C491" s="211">
        <f t="shared" si="547"/>
        <v>1018720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</row>
    <row r="492" spans="1:144" ht="15.75" customHeight="1" x14ac:dyDescent="0.15">
      <c r="A492" s="421">
        <v>489</v>
      </c>
      <c r="B492" s="211"/>
      <c r="C492" s="211">
        <f t="shared" si="547"/>
        <v>1018720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</row>
    <row r="493" spans="1:144" ht="15.75" customHeight="1" x14ac:dyDescent="0.15">
      <c r="A493" s="421">
        <v>490</v>
      </c>
      <c r="B493" s="211"/>
      <c r="C493" s="211">
        <f t="shared" si="547"/>
        <v>1018720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</row>
    <row r="494" spans="1:144" ht="15.75" customHeight="1" x14ac:dyDescent="0.15">
      <c r="A494" s="421">
        <v>491</v>
      </c>
      <c r="B494" s="211"/>
      <c r="C494" s="211">
        <f t="shared" si="547"/>
        <v>1018720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</row>
    <row r="495" spans="1:144" ht="15.75" customHeight="1" x14ac:dyDescent="0.15">
      <c r="A495" s="421">
        <v>492</v>
      </c>
      <c r="B495" s="211"/>
      <c r="C495" s="211">
        <f t="shared" si="547"/>
        <v>1018720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</row>
    <row r="496" spans="1:144" ht="15.75" customHeight="1" x14ac:dyDescent="0.15">
      <c r="A496" s="421">
        <v>493</v>
      </c>
      <c r="B496" s="211"/>
      <c r="C496" s="211">
        <f t="shared" si="547"/>
        <v>1018720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</row>
    <row r="497" spans="1:144" ht="15.75" customHeight="1" x14ac:dyDescent="0.15">
      <c r="A497" s="421">
        <v>494</v>
      </c>
      <c r="B497" s="211"/>
      <c r="C497" s="211">
        <f t="shared" si="547"/>
        <v>1018720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</row>
    <row r="498" spans="1:144" ht="15.75" customHeight="1" x14ac:dyDescent="0.15">
      <c r="A498" s="421">
        <v>495</v>
      </c>
      <c r="B498" s="211"/>
      <c r="C498" s="211">
        <f t="shared" si="547"/>
        <v>1018720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</row>
    <row r="499" spans="1:144" ht="15.75" customHeight="1" x14ac:dyDescent="0.15">
      <c r="A499" s="421">
        <v>496</v>
      </c>
      <c r="B499" s="211"/>
      <c r="C499" s="211">
        <f t="shared" si="547"/>
        <v>1018720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</row>
    <row r="500" spans="1:144" ht="15.75" customHeight="1" x14ac:dyDescent="0.15">
      <c r="A500" s="421">
        <v>497</v>
      </c>
      <c r="B500" s="211"/>
      <c r="C500" s="211">
        <f t="shared" si="547"/>
        <v>1018720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</row>
    <row r="501" spans="1:144" ht="15.75" customHeight="1" x14ac:dyDescent="0.15">
      <c r="A501" s="421">
        <v>498</v>
      </c>
      <c r="B501" s="211"/>
      <c r="C501" s="211">
        <f t="shared" si="547"/>
        <v>1018720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</row>
    <row r="502" spans="1:144" ht="15.75" customHeight="1" x14ac:dyDescent="0.15">
      <c r="A502" s="421">
        <v>499</v>
      </c>
      <c r="B502" s="211"/>
      <c r="C502" s="211">
        <f t="shared" si="547"/>
        <v>1018720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</row>
    <row r="503" spans="1:144" ht="15.75" customHeight="1" x14ac:dyDescent="0.15">
      <c r="A503" s="421">
        <v>500</v>
      </c>
      <c r="B503" s="211"/>
      <c r="C503" s="211">
        <f t="shared" si="547"/>
        <v>1018720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</row>
    <row r="504" spans="1:144" ht="15.75" customHeight="1" x14ac:dyDescent="0.15">
      <c r="A504" s="421">
        <v>501</v>
      </c>
      <c r="B504" s="211"/>
      <c r="C504" s="211">
        <f t="shared" si="547"/>
        <v>1018720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</row>
    <row r="505" spans="1:144" ht="15.75" customHeight="1" x14ac:dyDescent="0.15">
      <c r="A505" s="421">
        <v>502</v>
      </c>
      <c r="B505" s="211"/>
      <c r="C505" s="211">
        <f t="shared" si="547"/>
        <v>1018720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</row>
    <row r="506" spans="1:144" ht="15.75" customHeight="1" x14ac:dyDescent="0.15">
      <c r="A506" s="421">
        <v>503</v>
      </c>
      <c r="B506" s="211"/>
      <c r="C506" s="211">
        <f t="shared" si="547"/>
        <v>1018720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</row>
    <row r="507" spans="1:144" ht="15.75" customHeight="1" x14ac:dyDescent="0.15">
      <c r="A507" s="421">
        <v>504</v>
      </c>
      <c r="B507" s="211"/>
      <c r="C507" s="211">
        <f t="shared" si="547"/>
        <v>1018720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</row>
    <row r="508" spans="1:144" ht="15.75" customHeight="1" x14ac:dyDescent="0.15">
      <c r="A508" s="421">
        <v>505</v>
      </c>
      <c r="B508" s="211"/>
      <c r="C508" s="211">
        <f t="shared" si="547"/>
        <v>1018720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</row>
    <row r="509" spans="1:144" ht="15.75" customHeight="1" x14ac:dyDescent="0.15">
      <c r="A509" s="421">
        <v>506</v>
      </c>
      <c r="B509" s="211"/>
      <c r="C509" s="211">
        <f t="shared" si="547"/>
        <v>1018720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</row>
    <row r="510" spans="1:144" ht="15.75" customHeight="1" x14ac:dyDescent="0.15">
      <c r="A510" s="421">
        <v>507</v>
      </c>
      <c r="B510" s="211"/>
      <c r="C510" s="211">
        <f t="shared" si="547"/>
        <v>1018720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</row>
    <row r="511" spans="1:144" ht="15.75" customHeight="1" x14ac:dyDescent="0.15">
      <c r="A511" s="421">
        <v>508</v>
      </c>
      <c r="B511" s="211"/>
      <c r="C511" s="211">
        <f t="shared" si="547"/>
        <v>1018720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</row>
    <row r="512" spans="1:144" ht="15.75" customHeight="1" x14ac:dyDescent="0.15">
      <c r="A512" s="421">
        <v>509</v>
      </c>
      <c r="B512" s="211"/>
      <c r="C512" s="211">
        <f t="shared" si="547"/>
        <v>1018720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</row>
    <row r="513" spans="1:144" ht="15.75" customHeight="1" x14ac:dyDescent="0.15">
      <c r="A513" s="421">
        <v>510</v>
      </c>
      <c r="B513" s="211"/>
      <c r="C513" s="211">
        <f t="shared" si="547"/>
        <v>1018720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</row>
    <row r="514" spans="1:144" ht="15.75" customHeight="1" x14ac:dyDescent="0.15">
      <c r="A514" s="421">
        <v>511</v>
      </c>
      <c r="B514" s="211"/>
      <c r="C514" s="211">
        <f t="shared" ref="C514:C603" si="548">C513+B514</f>
        <v>1018720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</row>
    <row r="515" spans="1:144" ht="15.75" customHeight="1" x14ac:dyDescent="0.15">
      <c r="A515" s="421">
        <v>512</v>
      </c>
      <c r="B515" s="211"/>
      <c r="C515" s="211">
        <f t="shared" si="548"/>
        <v>1018720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</row>
    <row r="516" spans="1:144" ht="15.75" customHeight="1" x14ac:dyDescent="0.15">
      <c r="A516" s="421">
        <v>513</v>
      </c>
      <c r="B516" s="211"/>
      <c r="C516" s="211">
        <f t="shared" si="548"/>
        <v>1018720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</row>
    <row r="517" spans="1:144" ht="15.75" customHeight="1" x14ac:dyDescent="0.15">
      <c r="A517" s="421">
        <v>514</v>
      </c>
      <c r="B517" s="211"/>
      <c r="C517" s="211">
        <f t="shared" si="548"/>
        <v>1018720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</row>
    <row r="518" spans="1:144" ht="15.75" customHeight="1" x14ac:dyDescent="0.15">
      <c r="A518" s="421">
        <v>515</v>
      </c>
      <c r="B518" s="211"/>
      <c r="C518" s="211">
        <f t="shared" si="548"/>
        <v>1018720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</row>
    <row r="519" spans="1:144" ht="15.75" customHeight="1" x14ac:dyDescent="0.15">
      <c r="A519" s="421">
        <v>516</v>
      </c>
      <c r="B519" s="211"/>
      <c r="C519" s="211">
        <f t="shared" si="548"/>
        <v>1018720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</row>
    <row r="520" spans="1:144" ht="15.75" customHeight="1" x14ac:dyDescent="0.15">
      <c r="A520" s="421">
        <v>517</v>
      </c>
      <c r="B520" s="211"/>
      <c r="C520" s="211">
        <f t="shared" si="548"/>
        <v>1018720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</row>
    <row r="521" spans="1:144" ht="15.75" customHeight="1" x14ac:dyDescent="0.15">
      <c r="A521" s="421">
        <v>518</v>
      </c>
      <c r="B521" s="211"/>
      <c r="C521" s="211">
        <f t="shared" si="548"/>
        <v>1018720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</row>
    <row r="522" spans="1:144" ht="15.75" customHeight="1" x14ac:dyDescent="0.15">
      <c r="A522" s="421">
        <v>519</v>
      </c>
      <c r="B522" s="211"/>
      <c r="C522" s="211">
        <f t="shared" si="548"/>
        <v>1018720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</row>
    <row r="523" spans="1:144" ht="15.75" customHeight="1" x14ac:dyDescent="0.15">
      <c r="A523" s="421">
        <v>520</v>
      </c>
      <c r="B523" s="211"/>
      <c r="C523" s="211">
        <f t="shared" si="548"/>
        <v>1018720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</row>
    <row r="524" spans="1:144" ht="15.75" customHeight="1" x14ac:dyDescent="0.15">
      <c r="A524" s="421">
        <v>521</v>
      </c>
      <c r="B524" s="211"/>
      <c r="C524" s="211">
        <f t="shared" si="548"/>
        <v>1018720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</row>
    <row r="525" spans="1:144" ht="15.75" customHeight="1" x14ac:dyDescent="0.15">
      <c r="A525" s="421">
        <v>522</v>
      </c>
      <c r="B525" s="211"/>
      <c r="C525" s="211">
        <f t="shared" si="548"/>
        <v>1018720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</row>
    <row r="526" spans="1:144" ht="15.75" customHeight="1" x14ac:dyDescent="0.15">
      <c r="A526" s="421">
        <v>523</v>
      </c>
      <c r="B526" s="211"/>
      <c r="C526" s="211">
        <f t="shared" si="548"/>
        <v>1018720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</row>
    <row r="527" spans="1:144" ht="15.75" customHeight="1" x14ac:dyDescent="0.15">
      <c r="A527" s="421">
        <v>524</v>
      </c>
      <c r="B527" s="211"/>
      <c r="C527" s="211">
        <f t="shared" si="548"/>
        <v>1018720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</row>
    <row r="528" spans="1:144" ht="15.75" customHeight="1" x14ac:dyDescent="0.15">
      <c r="A528" s="421">
        <v>525</v>
      </c>
      <c r="B528" s="211"/>
      <c r="C528" s="211">
        <f t="shared" si="548"/>
        <v>1018720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</row>
    <row r="529" spans="1:144" ht="15.75" customHeight="1" x14ac:dyDescent="0.15">
      <c r="A529" s="421">
        <v>526</v>
      </c>
      <c r="B529" s="211"/>
      <c r="C529" s="211">
        <f t="shared" si="548"/>
        <v>1018720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</row>
    <row r="530" spans="1:144" ht="15.75" customHeight="1" x14ac:dyDescent="0.15">
      <c r="A530" s="421">
        <v>527</v>
      </c>
      <c r="B530" s="211"/>
      <c r="C530" s="211">
        <f t="shared" si="548"/>
        <v>1018720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</row>
    <row r="531" spans="1:144" ht="15.75" customHeight="1" x14ac:dyDescent="0.15">
      <c r="A531" s="421">
        <v>528</v>
      </c>
      <c r="B531" s="211"/>
      <c r="C531" s="211">
        <f t="shared" si="548"/>
        <v>1018720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</row>
    <row r="532" spans="1:144" ht="15.75" customHeight="1" x14ac:dyDescent="0.15">
      <c r="A532" s="421">
        <v>529</v>
      </c>
      <c r="B532" s="211"/>
      <c r="C532" s="211">
        <f t="shared" si="548"/>
        <v>1018720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</row>
    <row r="533" spans="1:144" ht="15.75" customHeight="1" x14ac:dyDescent="0.15">
      <c r="A533" s="421">
        <v>530</v>
      </c>
      <c r="B533" s="211"/>
      <c r="C533" s="211">
        <f t="shared" si="548"/>
        <v>1018720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</row>
    <row r="534" spans="1:144" ht="15.75" customHeight="1" x14ac:dyDescent="0.15">
      <c r="A534" s="421">
        <v>531</v>
      </c>
      <c r="B534" s="211"/>
      <c r="C534" s="211">
        <f t="shared" si="548"/>
        <v>1018720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</row>
    <row r="535" spans="1:144" ht="15.75" customHeight="1" x14ac:dyDescent="0.15">
      <c r="A535" s="421">
        <v>532</v>
      </c>
      <c r="B535" s="211"/>
      <c r="C535" s="211">
        <f t="shared" si="548"/>
        <v>1018720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</row>
    <row r="536" spans="1:144" ht="15.75" customHeight="1" x14ac:dyDescent="0.15">
      <c r="A536" s="421">
        <v>533</v>
      </c>
      <c r="B536" s="211"/>
      <c r="C536" s="211">
        <f t="shared" si="548"/>
        <v>1018720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</row>
    <row r="537" spans="1:144" ht="15.75" customHeight="1" x14ac:dyDescent="0.15">
      <c r="A537" s="421">
        <v>534</v>
      </c>
      <c r="B537" s="211"/>
      <c r="C537" s="211">
        <f t="shared" si="548"/>
        <v>1018720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</row>
    <row r="538" spans="1:144" ht="15.75" customHeight="1" x14ac:dyDescent="0.15">
      <c r="A538" s="421">
        <v>535</v>
      </c>
      <c r="B538" s="211"/>
      <c r="C538" s="211">
        <f t="shared" si="548"/>
        <v>1018720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</row>
    <row r="539" spans="1:144" ht="15.75" customHeight="1" x14ac:dyDescent="0.15">
      <c r="A539" s="421">
        <v>536</v>
      </c>
      <c r="B539" s="211"/>
      <c r="C539" s="211">
        <f t="shared" si="548"/>
        <v>1018720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</row>
    <row r="540" spans="1:144" ht="15.75" customHeight="1" x14ac:dyDescent="0.15">
      <c r="A540" s="421">
        <v>537</v>
      </c>
      <c r="B540" s="211"/>
      <c r="C540" s="211">
        <f t="shared" si="548"/>
        <v>1018720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</row>
    <row r="541" spans="1:144" ht="15.75" customHeight="1" x14ac:dyDescent="0.15">
      <c r="A541" s="421">
        <v>538</v>
      </c>
      <c r="B541" s="211"/>
      <c r="C541" s="211">
        <f t="shared" si="548"/>
        <v>1018720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</row>
    <row r="542" spans="1:144" ht="15.75" customHeight="1" x14ac:dyDescent="0.15">
      <c r="A542" s="421">
        <v>539</v>
      </c>
      <c r="B542" s="211"/>
      <c r="C542" s="211">
        <f t="shared" si="548"/>
        <v>1018720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</row>
    <row r="543" spans="1:144" ht="15.75" customHeight="1" x14ac:dyDescent="0.15">
      <c r="A543" s="421">
        <v>540</v>
      </c>
      <c r="B543" s="211"/>
      <c r="C543" s="211">
        <f t="shared" si="548"/>
        <v>1018720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</row>
    <row r="544" spans="1:144" ht="15.75" customHeight="1" x14ac:dyDescent="0.15">
      <c r="A544" s="421">
        <v>541</v>
      </c>
      <c r="B544" s="211"/>
      <c r="C544" s="211">
        <f t="shared" si="548"/>
        <v>1018720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</row>
    <row r="545" spans="1:144" ht="15.75" customHeight="1" x14ac:dyDescent="0.15">
      <c r="A545" s="421">
        <v>542</v>
      </c>
      <c r="B545" s="211"/>
      <c r="C545" s="211">
        <f t="shared" si="548"/>
        <v>1018720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</row>
    <row r="546" spans="1:144" ht="15.75" customHeight="1" x14ac:dyDescent="0.15">
      <c r="A546" s="421">
        <v>543</v>
      </c>
      <c r="B546" s="211"/>
      <c r="C546" s="211">
        <f t="shared" si="548"/>
        <v>1018720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</row>
    <row r="547" spans="1:144" ht="15.75" customHeight="1" x14ac:dyDescent="0.15">
      <c r="A547" s="421">
        <v>544</v>
      </c>
      <c r="B547" s="211"/>
      <c r="C547" s="211">
        <f t="shared" si="548"/>
        <v>1018720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</row>
    <row r="548" spans="1:144" ht="15.75" customHeight="1" x14ac:dyDescent="0.15">
      <c r="A548" s="421">
        <v>545</v>
      </c>
      <c r="B548" s="211"/>
      <c r="C548" s="211">
        <f t="shared" si="548"/>
        <v>1018720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</row>
    <row r="549" spans="1:144" ht="15.75" customHeight="1" x14ac:dyDescent="0.15">
      <c r="A549" s="421">
        <v>546</v>
      </c>
      <c r="B549" s="211"/>
      <c r="C549" s="211">
        <f t="shared" si="548"/>
        <v>1018720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</row>
    <row r="550" spans="1:144" ht="15.75" customHeight="1" x14ac:dyDescent="0.15">
      <c r="A550" s="421">
        <v>547</v>
      </c>
      <c r="B550" s="211"/>
      <c r="C550" s="211">
        <f t="shared" si="548"/>
        <v>1018720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</row>
    <row r="551" spans="1:144" ht="15.75" customHeight="1" x14ac:dyDescent="0.15">
      <c r="A551" s="421">
        <v>548</v>
      </c>
      <c r="B551" s="211"/>
      <c r="C551" s="211">
        <f t="shared" si="548"/>
        <v>1018720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</row>
    <row r="552" spans="1:144" ht="15.75" customHeight="1" x14ac:dyDescent="0.15">
      <c r="A552" s="421">
        <v>549</v>
      </c>
      <c r="B552" s="211"/>
      <c r="C552" s="211">
        <f t="shared" si="548"/>
        <v>1018720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</row>
    <row r="553" spans="1:144" ht="15.75" customHeight="1" x14ac:dyDescent="0.15">
      <c r="A553" s="421">
        <v>550</v>
      </c>
      <c r="B553" s="211"/>
      <c r="C553" s="211">
        <f t="shared" si="548"/>
        <v>1018720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</row>
    <row r="554" spans="1:144" ht="15.75" customHeight="1" x14ac:dyDescent="0.15">
      <c r="A554" s="421">
        <v>551</v>
      </c>
      <c r="B554" s="211"/>
      <c r="C554" s="211">
        <f t="shared" si="548"/>
        <v>1018720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</row>
    <row r="555" spans="1:144" ht="15.75" customHeight="1" x14ac:dyDescent="0.15">
      <c r="A555" s="421">
        <v>552</v>
      </c>
      <c r="B555" s="211"/>
      <c r="C555" s="211">
        <f t="shared" si="548"/>
        <v>1018720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</row>
    <row r="556" spans="1:144" ht="15.75" customHeight="1" x14ac:dyDescent="0.15">
      <c r="A556" s="421">
        <v>553</v>
      </c>
      <c r="B556" s="211"/>
      <c r="C556" s="211">
        <f t="shared" si="548"/>
        <v>1018720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</row>
    <row r="557" spans="1:144" ht="15.75" customHeight="1" x14ac:dyDescent="0.15">
      <c r="A557" s="421">
        <v>554</v>
      </c>
      <c r="B557" s="211"/>
      <c r="C557" s="211">
        <f t="shared" si="548"/>
        <v>1018720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</row>
    <row r="558" spans="1:144" ht="15.75" customHeight="1" x14ac:dyDescent="0.15">
      <c r="A558" s="421">
        <v>555</v>
      </c>
      <c r="B558" s="211"/>
      <c r="C558" s="211">
        <f t="shared" si="548"/>
        <v>1018720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</row>
    <row r="559" spans="1:144" ht="15.75" customHeight="1" x14ac:dyDescent="0.15">
      <c r="A559" s="421">
        <v>556</v>
      </c>
      <c r="B559" s="211"/>
      <c r="C559" s="211">
        <f t="shared" si="548"/>
        <v>1018720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</row>
    <row r="560" spans="1:144" ht="15.75" customHeight="1" x14ac:dyDescent="0.15">
      <c r="A560" s="421">
        <v>557</v>
      </c>
      <c r="B560" s="211"/>
      <c r="C560" s="211">
        <f t="shared" si="548"/>
        <v>1018720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</row>
    <row r="561" spans="1:144" ht="15.75" customHeight="1" x14ac:dyDescent="0.15">
      <c r="A561" s="421">
        <v>558</v>
      </c>
      <c r="B561" s="211"/>
      <c r="C561" s="211">
        <f t="shared" si="548"/>
        <v>1018720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</row>
    <row r="562" spans="1:144" ht="15.75" customHeight="1" x14ac:dyDescent="0.15">
      <c r="A562" s="421">
        <v>559</v>
      </c>
      <c r="B562" s="211"/>
      <c r="C562" s="211">
        <f t="shared" si="548"/>
        <v>1018720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</row>
    <row r="563" spans="1:144" ht="15.75" customHeight="1" x14ac:dyDescent="0.15">
      <c r="A563" s="421">
        <v>560</v>
      </c>
      <c r="B563" s="211"/>
      <c r="C563" s="211">
        <f t="shared" si="548"/>
        <v>1018720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</row>
    <row r="564" spans="1:144" ht="15.75" customHeight="1" x14ac:dyDescent="0.15">
      <c r="A564" s="421">
        <v>561</v>
      </c>
      <c r="B564" s="211"/>
      <c r="C564" s="211">
        <f t="shared" si="548"/>
        <v>1018720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</row>
    <row r="565" spans="1:144" ht="15.75" customHeight="1" x14ac:dyDescent="0.15">
      <c r="A565" s="421">
        <v>562</v>
      </c>
      <c r="B565" s="211"/>
      <c r="C565" s="211">
        <f t="shared" si="548"/>
        <v>1018720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</row>
    <row r="566" spans="1:144" ht="15.75" customHeight="1" x14ac:dyDescent="0.15">
      <c r="A566" s="421">
        <v>563</v>
      </c>
      <c r="B566" s="211"/>
      <c r="C566" s="211">
        <f t="shared" si="548"/>
        <v>1018720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</row>
    <row r="567" spans="1:144" ht="15.75" customHeight="1" x14ac:dyDescent="0.15">
      <c r="A567" s="421">
        <v>564</v>
      </c>
      <c r="B567" s="211"/>
      <c r="C567" s="211">
        <f t="shared" si="548"/>
        <v>1018720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</row>
    <row r="568" spans="1:144" ht="15.75" customHeight="1" x14ac:dyDescent="0.15">
      <c r="A568" s="421">
        <v>565</v>
      </c>
      <c r="B568" s="211"/>
      <c r="C568" s="211">
        <f t="shared" si="548"/>
        <v>1018720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</row>
    <row r="569" spans="1:144" ht="15.75" customHeight="1" x14ac:dyDescent="0.15">
      <c r="A569" s="421">
        <v>566</v>
      </c>
      <c r="B569" s="211"/>
      <c r="C569" s="211">
        <f t="shared" si="548"/>
        <v>1018720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</row>
    <row r="570" spans="1:144" ht="15.75" customHeight="1" x14ac:dyDescent="0.15">
      <c r="A570" s="421">
        <v>567</v>
      </c>
      <c r="B570" s="211"/>
      <c r="C570" s="211">
        <f t="shared" si="548"/>
        <v>1018720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</row>
    <row r="571" spans="1:144" ht="15.75" customHeight="1" x14ac:dyDescent="0.15">
      <c r="A571" s="421">
        <v>568</v>
      </c>
      <c r="B571" s="211"/>
      <c r="C571" s="211">
        <f t="shared" si="548"/>
        <v>1018720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</row>
    <row r="572" spans="1:144" ht="15.75" customHeight="1" x14ac:dyDescent="0.15">
      <c r="A572" s="421">
        <v>569</v>
      </c>
      <c r="B572" s="211"/>
      <c r="C572" s="211">
        <f t="shared" si="548"/>
        <v>1018720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</row>
    <row r="573" spans="1:144" ht="15.75" customHeight="1" x14ac:dyDescent="0.15">
      <c r="A573" s="421">
        <v>570</v>
      </c>
      <c r="B573" s="211"/>
      <c r="C573" s="211">
        <f t="shared" si="548"/>
        <v>1018720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</row>
    <row r="574" spans="1:144" ht="15.75" customHeight="1" x14ac:dyDescent="0.15">
      <c r="A574" s="421">
        <v>571</v>
      </c>
      <c r="B574" s="211"/>
      <c r="C574" s="211">
        <f t="shared" si="548"/>
        <v>1018720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</row>
    <row r="575" spans="1:144" ht="15.75" customHeight="1" x14ac:dyDescent="0.15">
      <c r="A575" s="421">
        <v>572</v>
      </c>
      <c r="B575" s="211"/>
      <c r="C575" s="211">
        <f t="shared" si="548"/>
        <v>1018720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</row>
    <row r="576" spans="1:144" ht="15.75" customHeight="1" x14ac:dyDescent="0.15">
      <c r="A576" s="421">
        <v>573</v>
      </c>
      <c r="B576" s="211"/>
      <c r="C576" s="211">
        <f t="shared" si="548"/>
        <v>1018720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</row>
    <row r="577" spans="1:144" ht="15.75" customHeight="1" x14ac:dyDescent="0.15">
      <c r="A577" s="421">
        <v>574</v>
      </c>
      <c r="B577" s="211"/>
      <c r="C577" s="211">
        <f t="shared" si="548"/>
        <v>1018720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</row>
    <row r="578" spans="1:144" ht="15.75" customHeight="1" x14ac:dyDescent="0.15">
      <c r="A578" s="421">
        <v>575</v>
      </c>
      <c r="B578" s="211"/>
      <c r="C578" s="211">
        <f t="shared" si="548"/>
        <v>1018720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</row>
    <row r="579" spans="1:144" ht="15.75" customHeight="1" x14ac:dyDescent="0.15">
      <c r="A579" s="421">
        <v>576</v>
      </c>
      <c r="B579" s="211"/>
      <c r="C579" s="211">
        <f t="shared" si="548"/>
        <v>1018720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</row>
    <row r="580" spans="1:144" ht="15.75" customHeight="1" x14ac:dyDescent="0.15">
      <c r="A580" s="421">
        <v>577</v>
      </c>
      <c r="B580" s="211"/>
      <c r="C580" s="211">
        <f t="shared" si="548"/>
        <v>1018720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</row>
    <row r="581" spans="1:144" ht="15.75" customHeight="1" x14ac:dyDescent="0.15">
      <c r="A581" s="421">
        <v>578</v>
      </c>
      <c r="B581" s="211"/>
      <c r="C581" s="211">
        <f t="shared" si="548"/>
        <v>1018720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</row>
    <row r="582" spans="1:144" ht="15.75" customHeight="1" x14ac:dyDescent="0.15">
      <c r="A582" s="421">
        <v>579</v>
      </c>
      <c r="B582" s="211"/>
      <c r="C582" s="211">
        <f t="shared" si="548"/>
        <v>1018720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</row>
    <row r="583" spans="1:144" ht="15.75" customHeight="1" x14ac:dyDescent="0.15">
      <c r="A583" s="421">
        <v>580</v>
      </c>
      <c r="B583" s="211"/>
      <c r="C583" s="211">
        <f t="shared" si="548"/>
        <v>1018720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</row>
    <row r="584" spans="1:144" ht="15.75" customHeight="1" x14ac:dyDescent="0.15">
      <c r="A584" s="421">
        <v>581</v>
      </c>
      <c r="B584" s="211"/>
      <c r="C584" s="211">
        <f t="shared" si="548"/>
        <v>1018720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</row>
    <row r="585" spans="1:144" ht="15.75" customHeight="1" x14ac:dyDescent="0.15">
      <c r="A585" s="421">
        <v>582</v>
      </c>
      <c r="B585" s="211"/>
      <c r="C585" s="211">
        <f t="shared" si="548"/>
        <v>1018720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</row>
    <row r="586" spans="1:144" ht="15.75" customHeight="1" x14ac:dyDescent="0.15">
      <c r="A586" s="421">
        <v>583</v>
      </c>
      <c r="B586" s="211"/>
      <c r="C586" s="211">
        <f t="shared" si="548"/>
        <v>1018720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</row>
    <row r="587" spans="1:144" ht="15.75" customHeight="1" x14ac:dyDescent="0.15">
      <c r="A587" s="421">
        <v>584</v>
      </c>
      <c r="B587" s="211"/>
      <c r="C587" s="211">
        <f t="shared" si="548"/>
        <v>1018720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</row>
    <row r="588" spans="1:144" ht="15.75" customHeight="1" x14ac:dyDescent="0.15">
      <c r="A588" s="421">
        <v>585</v>
      </c>
      <c r="B588" s="211"/>
      <c r="C588" s="211">
        <f t="shared" si="548"/>
        <v>1018720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</row>
    <row r="589" spans="1:144" ht="15.75" customHeight="1" x14ac:dyDescent="0.15">
      <c r="A589" s="421">
        <v>586</v>
      </c>
      <c r="B589" s="211"/>
      <c r="C589" s="211">
        <f t="shared" si="548"/>
        <v>1018720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</row>
    <row r="590" spans="1:144" ht="15.75" customHeight="1" x14ac:dyDescent="0.15">
      <c r="A590" s="421">
        <v>587</v>
      </c>
      <c r="B590" s="211"/>
      <c r="C590" s="211">
        <f t="shared" si="548"/>
        <v>1018720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</row>
    <row r="591" spans="1:144" ht="15.75" customHeight="1" x14ac:dyDescent="0.15">
      <c r="A591" s="421">
        <v>588</v>
      </c>
      <c r="B591" s="211"/>
      <c r="C591" s="211">
        <f t="shared" si="548"/>
        <v>1018720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</row>
    <row r="592" spans="1:144" ht="15.75" customHeight="1" x14ac:dyDescent="0.15">
      <c r="A592" s="421">
        <v>589</v>
      </c>
      <c r="B592" s="211"/>
      <c r="C592" s="211">
        <f t="shared" si="548"/>
        <v>1018720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</row>
    <row r="593" spans="1:144" ht="15.75" customHeight="1" x14ac:dyDescent="0.15">
      <c r="A593" s="421">
        <v>590</v>
      </c>
      <c r="B593" s="211"/>
      <c r="C593" s="211">
        <f t="shared" si="548"/>
        <v>1018720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</row>
    <row r="594" spans="1:144" ht="15.75" customHeight="1" x14ac:dyDescent="0.15">
      <c r="A594" s="421">
        <v>591</v>
      </c>
      <c r="B594" s="211"/>
      <c r="C594" s="211">
        <f t="shared" si="548"/>
        <v>1018720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</row>
    <row r="595" spans="1:144" ht="15.75" customHeight="1" x14ac:dyDescent="0.15">
      <c r="A595" s="421">
        <v>592</v>
      </c>
      <c r="B595" s="211"/>
      <c r="C595" s="211">
        <f t="shared" si="548"/>
        <v>1018720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</row>
    <row r="596" spans="1:144" ht="15.75" customHeight="1" x14ac:dyDescent="0.15">
      <c r="A596" s="421">
        <v>593</v>
      </c>
      <c r="B596" s="211"/>
      <c r="C596" s="211">
        <f t="shared" si="548"/>
        <v>1018720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</row>
    <row r="597" spans="1:144" ht="15.75" customHeight="1" x14ac:dyDescent="0.15">
      <c r="A597" s="421">
        <v>594</v>
      </c>
      <c r="B597" s="211"/>
      <c r="C597" s="211">
        <f t="shared" si="548"/>
        <v>1018720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</row>
    <row r="598" spans="1:144" ht="15.75" customHeight="1" x14ac:dyDescent="0.15">
      <c r="A598" s="421">
        <v>595</v>
      </c>
      <c r="B598" s="211"/>
      <c r="C598" s="211">
        <f t="shared" si="548"/>
        <v>1018720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</row>
    <row r="599" spans="1:144" ht="15.75" customHeight="1" x14ac:dyDescent="0.15">
      <c r="A599" s="421">
        <v>596</v>
      </c>
      <c r="B599" s="211"/>
      <c r="C599" s="211">
        <f t="shared" si="548"/>
        <v>1018720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</row>
    <row r="600" spans="1:144" ht="15.75" customHeight="1" x14ac:dyDescent="0.15">
      <c r="A600" s="421">
        <v>597</v>
      </c>
      <c r="B600" s="211"/>
      <c r="C600" s="211">
        <f t="shared" si="548"/>
        <v>1018720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</row>
    <row r="601" spans="1:144" ht="15.75" customHeight="1" x14ac:dyDescent="0.15">
      <c r="A601" s="421">
        <v>598</v>
      </c>
      <c r="B601" s="211"/>
      <c r="C601" s="211">
        <f t="shared" si="548"/>
        <v>1018720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</row>
    <row r="602" spans="1:144" ht="15.75" customHeight="1" x14ac:dyDescent="0.15">
      <c r="A602" s="421">
        <v>599</v>
      </c>
      <c r="B602" s="211"/>
      <c r="C602" s="211">
        <f t="shared" si="548"/>
        <v>1018720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</row>
    <row r="603" spans="1:144" ht="15.75" customHeight="1" x14ac:dyDescent="0.15">
      <c r="A603" s="421">
        <v>600</v>
      </c>
      <c r="B603" s="211"/>
      <c r="C603" s="211">
        <f t="shared" si="548"/>
        <v>1018720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</row>
    <row r="604" spans="1:144" ht="15.75" customHeight="1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</row>
    <row r="605" spans="1:144" ht="15.75" customHeight="1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</row>
    <row r="606" spans="1:144" ht="15.75" customHeight="1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</row>
    <row r="607" spans="1:144" ht="15.75" customHeight="1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</row>
    <row r="608" spans="1:144" ht="15.75" customHeight="1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</row>
    <row r="609" spans="1:144" ht="15.75" customHeight="1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</row>
    <row r="610" spans="1:144" ht="15.75" customHeight="1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</row>
    <row r="611" spans="1:144" ht="15.7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</row>
    <row r="612" spans="1:144" ht="15.75" customHeight="1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</row>
    <row r="613" spans="1:144" ht="15.75" customHeight="1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</row>
    <row r="614" spans="1:144" ht="15.75" customHeight="1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</row>
    <row r="615" spans="1:144" ht="15.75" customHeight="1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</row>
    <row r="616" spans="1:144" ht="15.75" customHeight="1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</row>
    <row r="617" spans="1:144" ht="15.75" customHeight="1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</row>
    <row r="618" spans="1:144" ht="15.75" customHeight="1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</row>
    <row r="619" spans="1:144" ht="15.75" customHeight="1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</row>
    <row r="620" spans="1:144" ht="15.75" customHeight="1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</row>
    <row r="621" spans="1:144" ht="15.75" customHeight="1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</row>
    <row r="622" spans="1:144" ht="15.75" customHeight="1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</row>
    <row r="623" spans="1:144" ht="15.75" customHeight="1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</row>
    <row r="624" spans="1:144" ht="15.75" customHeight="1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</row>
    <row r="625" spans="1:144" ht="15.75" customHeight="1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</row>
    <row r="626" spans="1:144" ht="15.75" customHeight="1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</row>
    <row r="627" spans="1:144" ht="15.75" customHeight="1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</row>
    <row r="628" spans="1:144" ht="15.75" customHeight="1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</row>
    <row r="629" spans="1:144" ht="15.7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</row>
    <row r="630" spans="1:144" ht="15.75" customHeight="1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</row>
    <row r="631" spans="1:144" ht="15.75" customHeight="1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</row>
    <row r="632" spans="1:144" ht="15.75" customHeight="1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</row>
    <row r="633" spans="1:144" ht="15.75" customHeight="1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</row>
    <row r="634" spans="1:144" ht="15.75" customHeight="1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</row>
    <row r="635" spans="1:144" ht="15.75" customHeight="1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</row>
    <row r="636" spans="1:144" ht="15.75" customHeight="1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</row>
    <row r="637" spans="1:144" ht="15.75" customHeight="1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</row>
    <row r="638" spans="1:144" ht="15.75" customHeight="1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</row>
    <row r="639" spans="1:144" ht="15.75" customHeight="1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</row>
    <row r="640" spans="1:144" ht="15.75" customHeight="1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</row>
    <row r="641" spans="1:144" ht="15.75" customHeight="1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</row>
    <row r="642" spans="1:144" ht="15.75" customHeight="1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</row>
    <row r="643" spans="1:144" ht="15.75" customHeight="1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</row>
    <row r="644" spans="1:144" ht="15.75" customHeight="1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</row>
    <row r="645" spans="1:144" ht="15.75" customHeight="1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</row>
    <row r="646" spans="1:144" ht="15.75" customHeight="1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</row>
    <row r="647" spans="1:144" ht="15.7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</row>
    <row r="648" spans="1:144" ht="15.75" customHeight="1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</row>
    <row r="649" spans="1:144" ht="15.75" customHeight="1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</row>
    <row r="650" spans="1:144" ht="15.75" customHeight="1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</row>
    <row r="651" spans="1:144" ht="15.75" customHeight="1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</row>
    <row r="652" spans="1:144" ht="15.75" customHeight="1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</row>
    <row r="653" spans="1:144" ht="15.75" customHeight="1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</row>
    <row r="654" spans="1:144" ht="15.75" customHeight="1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</row>
    <row r="655" spans="1:144" ht="15.75" customHeight="1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</row>
    <row r="656" spans="1:144" ht="15.75" customHeight="1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</row>
    <row r="657" spans="1:144" ht="15.75" customHeight="1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</row>
    <row r="658" spans="1:144" ht="15.75" customHeight="1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</row>
    <row r="659" spans="1:144" ht="15.75" customHeight="1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</row>
    <row r="660" spans="1:144" ht="15.75" customHeight="1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</row>
    <row r="661" spans="1:144" ht="15.75" customHeight="1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</row>
    <row r="662" spans="1:144" ht="15.75" customHeight="1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</row>
    <row r="663" spans="1:144" ht="15.75" customHeight="1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</row>
    <row r="664" spans="1:144" ht="15.75" customHeight="1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</row>
    <row r="665" spans="1:144" ht="15.7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</row>
    <row r="666" spans="1:144" ht="15.75" customHeight="1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</row>
    <row r="667" spans="1:144" ht="15.75" customHeight="1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</row>
    <row r="668" spans="1:144" ht="15.75" customHeight="1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</row>
    <row r="669" spans="1:144" ht="15.75" customHeight="1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</row>
    <row r="670" spans="1:144" ht="15.75" customHeight="1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</row>
    <row r="671" spans="1:144" ht="15.75" customHeight="1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</row>
    <row r="672" spans="1:144" ht="15.75" customHeight="1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</row>
    <row r="673" spans="1:144" ht="15.75" customHeight="1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</row>
    <row r="674" spans="1:144" ht="15.75" customHeight="1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</row>
    <row r="675" spans="1:144" ht="15.75" customHeight="1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</row>
    <row r="676" spans="1:144" ht="15.75" customHeight="1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</row>
    <row r="677" spans="1:144" ht="15.75" customHeight="1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</row>
    <row r="678" spans="1:144" ht="15.75" customHeight="1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</row>
    <row r="679" spans="1:144" ht="15.75" customHeight="1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</row>
    <row r="680" spans="1:144" ht="15.75" customHeight="1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</row>
    <row r="681" spans="1:144" ht="15.75" customHeight="1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</row>
    <row r="682" spans="1:144" ht="15.75" customHeight="1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</row>
    <row r="683" spans="1:144" ht="15.7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</row>
    <row r="684" spans="1:144" ht="15.75" customHeight="1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</row>
    <row r="685" spans="1:144" ht="15.75" customHeight="1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</row>
    <row r="686" spans="1:144" ht="15.75" customHeight="1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</row>
    <row r="687" spans="1:144" ht="15.75" customHeight="1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</row>
    <row r="688" spans="1:144" ht="15.75" customHeight="1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</row>
    <row r="689" spans="1:144" ht="15.75" customHeight="1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</row>
    <row r="690" spans="1:144" ht="15.75" customHeight="1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</row>
    <row r="691" spans="1:144" ht="15.75" customHeight="1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</row>
    <row r="692" spans="1:144" ht="15.75" customHeight="1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</row>
    <row r="693" spans="1:144" ht="15.75" customHeight="1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</row>
    <row r="694" spans="1:144" ht="15.75" customHeight="1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</row>
    <row r="695" spans="1:144" ht="15.75" customHeight="1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</row>
    <row r="696" spans="1:144" ht="15.75" customHeight="1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</row>
    <row r="697" spans="1:144" ht="15.75" customHeight="1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</row>
    <row r="698" spans="1:144" ht="15.75" customHeight="1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</row>
    <row r="699" spans="1:144" ht="15.75" customHeight="1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</row>
    <row r="700" spans="1:144" ht="15.75" customHeight="1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</row>
    <row r="701" spans="1:144" ht="15.7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</row>
    <row r="702" spans="1:144" ht="15.75" customHeight="1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</row>
    <row r="703" spans="1:144" ht="15.75" customHeight="1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</row>
    <row r="704" spans="1:144" ht="15.75" customHeight="1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</row>
    <row r="705" spans="1:144" ht="15.75" customHeight="1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</row>
    <row r="706" spans="1:144" ht="15.75" customHeight="1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</row>
    <row r="707" spans="1:144" ht="15.75" customHeight="1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</row>
    <row r="708" spans="1:144" ht="15.75" customHeight="1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</row>
    <row r="709" spans="1:144" ht="15.75" customHeight="1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</row>
    <row r="710" spans="1:144" ht="15.75" customHeight="1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</row>
    <row r="711" spans="1:144" ht="15.75" customHeight="1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</row>
    <row r="712" spans="1:144" ht="15.75" customHeight="1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</row>
    <row r="713" spans="1:144" ht="15.75" customHeight="1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</row>
    <row r="714" spans="1:144" ht="15.75" customHeight="1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</row>
    <row r="715" spans="1:144" ht="15.75" customHeight="1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</row>
    <row r="716" spans="1:144" ht="15.75" customHeight="1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</row>
    <row r="717" spans="1:144" ht="15.75" customHeight="1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</row>
    <row r="718" spans="1:144" ht="15.75" customHeight="1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</row>
    <row r="719" spans="1:144" ht="15.7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</row>
    <row r="720" spans="1:144" ht="15.75" customHeight="1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</row>
    <row r="721" spans="1:144" ht="15.75" customHeight="1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</row>
    <row r="722" spans="1:144" ht="15.75" customHeight="1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</row>
    <row r="723" spans="1:144" ht="15.75" customHeight="1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</row>
    <row r="724" spans="1:144" ht="15.75" customHeight="1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</row>
    <row r="725" spans="1:144" ht="15.75" customHeight="1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</row>
    <row r="726" spans="1:144" ht="15.75" customHeight="1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15.75" customHeight="1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15.75" customHeight="1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15.75" customHeight="1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15.75" customHeight="1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15.75" customHeight="1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15.75" customHeight="1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15.75" customHeight="1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15.75" customHeight="1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15.75" customHeight="1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15.75" customHeight="1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15.7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</row>
    <row r="738" spans="1:144" ht="15.75" customHeight="1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</row>
    <row r="739" spans="1:144" ht="15.75" customHeight="1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</row>
    <row r="740" spans="1:144" ht="15.75" customHeight="1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</row>
    <row r="741" spans="1:144" ht="15.75" customHeight="1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</row>
    <row r="742" spans="1:144" ht="15.75" customHeight="1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</row>
    <row r="743" spans="1:144" ht="15.75" customHeight="1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</row>
    <row r="744" spans="1:144" ht="15.75" customHeight="1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</row>
    <row r="745" spans="1:144" ht="15.75" customHeight="1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</row>
    <row r="746" spans="1:144" ht="15.75" customHeight="1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</row>
    <row r="747" spans="1:144" ht="15.75" customHeight="1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</row>
    <row r="748" spans="1:144" ht="15.75" customHeight="1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</row>
    <row r="749" spans="1:144" ht="15.75" customHeight="1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</row>
    <row r="750" spans="1:144" ht="15.75" customHeight="1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</row>
    <row r="751" spans="1:144" ht="15.75" customHeight="1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</row>
    <row r="752" spans="1:144" ht="15.75" customHeight="1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</row>
    <row r="753" spans="1:144" ht="15.75" customHeight="1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</row>
    <row r="754" spans="1:144" ht="15.75" customHeight="1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</row>
    <row r="755" spans="1:144" ht="15.7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</row>
    <row r="756" spans="1:144" ht="15.75" customHeight="1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</row>
    <row r="757" spans="1:144" ht="15.75" customHeight="1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</row>
    <row r="758" spans="1:144" ht="15.75" customHeight="1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</row>
    <row r="759" spans="1:144" ht="15.75" customHeight="1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</row>
    <row r="760" spans="1:144" ht="15.75" customHeight="1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</row>
    <row r="761" spans="1:144" ht="15.75" customHeight="1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</row>
    <row r="762" spans="1:144" ht="15.75" customHeight="1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</row>
    <row r="763" spans="1:144" ht="15.75" customHeight="1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</row>
    <row r="764" spans="1:144" ht="15.75" customHeight="1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</row>
    <row r="765" spans="1:144" ht="15.75" customHeight="1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</row>
    <row r="766" spans="1:144" ht="15.75" customHeight="1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</row>
    <row r="767" spans="1:144" ht="15.75" customHeight="1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</row>
    <row r="768" spans="1:144" ht="15.75" customHeight="1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</row>
    <row r="769" spans="1:144" ht="15.75" customHeight="1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</row>
    <row r="770" spans="1:144" ht="15.75" customHeight="1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</row>
    <row r="771" spans="1:144" ht="15.75" customHeight="1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</row>
    <row r="772" spans="1:144" ht="15.75" customHeight="1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</row>
    <row r="773" spans="1:144" ht="15.7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</row>
    <row r="774" spans="1:144" ht="15.75" customHeight="1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</row>
    <row r="775" spans="1:144" ht="15.75" customHeight="1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</row>
    <row r="776" spans="1:144" ht="15.75" customHeight="1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</row>
    <row r="777" spans="1:144" ht="15.75" customHeight="1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</row>
    <row r="778" spans="1:144" ht="15.75" customHeight="1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</row>
    <row r="779" spans="1:144" ht="15.75" customHeight="1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</row>
    <row r="780" spans="1:144" ht="15.75" customHeight="1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</row>
    <row r="781" spans="1:144" ht="15.75" customHeight="1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</row>
    <row r="782" spans="1:144" ht="15.75" customHeight="1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</row>
    <row r="783" spans="1:144" ht="15.75" customHeight="1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</row>
    <row r="784" spans="1:144" ht="15.75" customHeight="1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</row>
    <row r="785" spans="1:144" ht="15.75" customHeight="1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</row>
    <row r="786" spans="1:144" ht="15.75" customHeight="1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</row>
    <row r="787" spans="1:144" ht="15.75" customHeight="1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</row>
    <row r="788" spans="1:144" ht="15.75" customHeight="1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</row>
    <row r="789" spans="1:144" ht="15.75" customHeight="1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</row>
    <row r="790" spans="1:144" ht="15.75" customHeight="1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</row>
    <row r="791" spans="1:144" ht="15.7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</row>
    <row r="792" spans="1:144" ht="15.75" customHeight="1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</row>
    <row r="793" spans="1:144" ht="15.75" customHeight="1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</row>
    <row r="794" spans="1:144" ht="15.75" customHeight="1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</row>
    <row r="795" spans="1:144" ht="15.75" customHeight="1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</row>
    <row r="796" spans="1:144" ht="15.75" customHeight="1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</row>
    <row r="797" spans="1:144" ht="15.75" customHeight="1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</row>
    <row r="798" spans="1:144" ht="15.75" customHeight="1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</row>
    <row r="799" spans="1:144" ht="15.75" customHeight="1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</row>
    <row r="800" spans="1:144" ht="15.75" customHeight="1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</row>
    <row r="801" spans="1:144" ht="15.75" customHeight="1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</row>
    <row r="802" spans="1:144" ht="15.75" customHeight="1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</row>
    <row r="803" spans="1:144" ht="15.75" customHeight="1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</row>
  </sheetData>
  <mergeCells count="40">
    <mergeCell ref="CT1:CU1"/>
    <mergeCell ref="CV1:CW1"/>
    <mergeCell ref="CX1:CY1"/>
    <mergeCell ref="BZ1:CA1"/>
    <mergeCell ref="CB1:CC1"/>
    <mergeCell ref="CE1:CF1"/>
    <mergeCell ref="CG1:CH1"/>
    <mergeCell ref="CI1:CJ1"/>
    <mergeCell ref="CK1:CL1"/>
    <mergeCell ref="CM1:CN1"/>
    <mergeCell ref="BT1:BU1"/>
    <mergeCell ref="BV1:BW1"/>
    <mergeCell ref="BX1:BY1"/>
    <mergeCell ref="CP1:CQ1"/>
    <mergeCell ref="CR1:CS1"/>
    <mergeCell ref="BI1:BJ1"/>
    <mergeCell ref="BK1:BL1"/>
    <mergeCell ref="BM1:BN1"/>
    <mergeCell ref="BO1:BP1"/>
    <mergeCell ref="BQ1:BR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Calculator</vt:lpstr>
      <vt:lpstr>Glass</vt:lpstr>
      <vt:lpstr>Gems</vt:lpstr>
      <vt:lpstr>Car Parts</vt:lpstr>
      <vt:lpstr>Drones</vt:lpstr>
      <vt:lpstr>Floors,Exhibits,Homemaking,CarC</vt:lpstr>
      <vt:lpstr>Assets</vt:lpstr>
      <vt:lpstr>Artist</vt:lpstr>
      <vt:lpstr>Blueprints</vt:lpstr>
      <vt:lpstr>Others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2026-02-02T18:07:15Z</dcterms:created>
  <dcterms:modified xsi:type="dcterms:W3CDTF">2026-02-02T18:07:15Z</dcterms:modified>
</cp:coreProperties>
</file>