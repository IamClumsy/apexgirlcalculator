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8_{C28DA2AB-02B0-FB44-8D69-7766B4FBE231}" xr6:coauthVersionLast="47" xr6:coauthVersionMax="47" xr10:uidLastSave="{00000000-0000-0000-0000-000000000000}"/>
  <bookViews>
    <workbookView xWindow="37360" yWindow="1300" windowWidth="35840" windowHeight="19860" activeTab="8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2" l="1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W15" i="8" s="1"/>
  <c r="V9" i="8"/>
  <c r="V15" i="8" s="1"/>
  <c r="U9" i="8"/>
  <c r="U15" i="8" s="1"/>
  <c r="T9" i="8"/>
  <c r="T15" i="8" s="1"/>
  <c r="S9" i="8"/>
  <c r="S15" i="8" s="1"/>
  <c r="R9" i="8"/>
  <c r="R15" i="8" s="1"/>
  <c r="Q9" i="8"/>
  <c r="Q15" i="8" s="1"/>
  <c r="P9" i="8"/>
  <c r="P15" i="8" s="1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W8" i="8" s="1"/>
  <c r="W16" i="8" s="1"/>
  <c r="V4" i="8"/>
  <c r="V8" i="8" s="1"/>
  <c r="V16" i="8" s="1"/>
  <c r="U4" i="8"/>
  <c r="U8" i="8" s="1"/>
  <c r="U16" i="8" s="1"/>
  <c r="T4" i="8"/>
  <c r="T8" i="8" s="1"/>
  <c r="T16" i="8" s="1"/>
  <c r="S4" i="8"/>
  <c r="S8" i="8" s="1"/>
  <c r="S16" i="8" s="1"/>
  <c r="R4" i="8"/>
  <c r="R8" i="8" s="1"/>
  <c r="R16" i="8" s="1"/>
  <c r="Q4" i="8"/>
  <c r="Q8" i="8" s="1"/>
  <c r="Q16" i="8" s="1"/>
  <c r="P4" i="8"/>
  <c r="P8" i="8" s="1"/>
  <c r="P16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E9" i="4" l="1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tc={c7b46440-2e81-478d-9d85-ae03b26edaaa}</author>
  </authors>
  <commentList>
    <comment ref="O17" authorId="0" shapeId="0" xr:uid="{C7B46440-2E81-478D-9D85-AE03B26EDAAA}">
      <text>
        <t>[Threaded comment]
Your version of Excel allows you to read this threaded comment; however, any edits to it will get removed if the file is opened in a newer version of Excel. Learn more: https://go.microsoft.com/fwlink/?linkid=870924
Comment:
    Hi, is it possible to add a table for the number of accessory that will be sacrificed for each upgrade after 30?
Here is the info: 1x for 30, 1x for 35, 1x for 40, 2x for 45, 2x for 50x 3x for 55.
Reply:
    Done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8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<sst xmlns="http://schemas.openxmlformats.org/spreadsheetml/2006/main" count="834" uniqueCount="393">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</sst>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477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4" fillId="0" borderId="16" xfId="0" applyNumberFormat="1" applyFont="1" applyBorder="1" applyAlignment="1">
      <alignment horizontal="center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4" fillId="0" borderId="8" xfId="0" applyNumberFormat="1" applyFont="1" applyBorder="1" applyAlignment="1">
      <alignment horizontal="center"/>
    </xf>
    <xf numFmtId="3" fontId="14" fillId="0" borderId="9" xfId="0" applyNumberFormat="1" applyFont="1" applyBorder="1" applyAlignment="1">
      <alignment horizontal="center"/>
    </xf>
    <xf numFmtId="3" fontId="14" fillId="0" borderId="10" xfId="0" applyNumberFormat="1" applyFont="1" applyBorder="1" applyAlignment="1">
      <alignment horizontal="center"/>
    </xf>
    <xf numFmtId="3" fontId="14" fillId="0" borderId="11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3" fontId="7" fillId="15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23" xfId="0" applyNumberFormat="1" applyFont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10" fillId="0" borderId="2" xfId="0" applyFont="1" applyBorder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7" fillId="28" borderId="3" xfId="0" applyNumberFormat="1" applyFont="1" applyFill="1" applyBorder="1" applyAlignment="1">
      <alignment horizontal="center" vertic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17" dT="2026-01-22T01:07:10.00" personId="{335C29E4-1036-4F85-9801-8DD27500D3E0}" id="{C7B46440-2E81-478D-9D85-AE03B26EDAAA}" done="1">
    <text>Hi, is it possible to add a table for the number of accessory that will be sacrificed for each upgrade after 30?
Here is the info: 1x for 30, 1x for 35, 1x for 40, 2x for 45, 2x for 50x 3x for 55.</text>
  </threadedComment>
  <threadedComment ref="O17" dT="2026-01-22T20:25:04.00" personId="{F07816F7-7C65-4A00-B2C5-ECADB986BE70}" id="{FFAAC5DC-CDCC-4C1B-A9DE-5E736229DE40}" parentId="{C7B46440-2E81-478D-9D85-AE03B26EDAAA}">
    <text>Done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8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8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8" dT="2026-01-19T15:25:43.00" personId="{F07816F7-7C65-4A00-B2C5-ECADB986BE70}" id="{A4D929DF-F513-7443-995D-054052070F50}" parentId="{3911B3EE-76FA-9748-A32B-5F14DBFFFC6F}">
    <text>Marked as resolved</text>
  </threadedComment>
  <threadedComment ref="B38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44" t="s">
        <v>1</v>
      </c>
      <c r="I2" s="445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44" t="s">
        <v>2</v>
      </c>
      <c r="I3" s="445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46" t="s">
        <v>9</v>
      </c>
      <c r="C8" s="441"/>
      <c r="D8" s="446" t="s">
        <v>10</v>
      </c>
      <c r="E8" s="443"/>
      <c r="F8" s="441"/>
      <c r="G8" s="446" t="s">
        <v>11</v>
      </c>
      <c r="H8" s="443"/>
      <c r="I8" s="441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40" t="s">
        <v>14</v>
      </c>
      <c r="C9" s="441"/>
      <c r="D9" s="442" t="s">
        <v>15</v>
      </c>
      <c r="E9" s="443"/>
      <c r="F9" s="441"/>
      <c r="G9" s="442" t="s">
        <v>16</v>
      </c>
      <c r="H9" s="443"/>
      <c r="I9" s="441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40" t="s">
        <v>19</v>
      </c>
      <c r="C10" s="441"/>
      <c r="D10" s="442" t="s">
        <v>15</v>
      </c>
      <c r="E10" s="443"/>
      <c r="F10" s="441"/>
      <c r="G10" s="442" t="s">
        <v>16</v>
      </c>
      <c r="H10" s="443"/>
      <c r="I10" s="441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40" t="s">
        <v>21</v>
      </c>
      <c r="C11" s="441"/>
      <c r="D11" s="442" t="s">
        <v>22</v>
      </c>
      <c r="E11" s="443"/>
      <c r="F11" s="441"/>
      <c r="G11" s="442" t="s">
        <v>23</v>
      </c>
      <c r="H11" s="443"/>
      <c r="I11" s="441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40" t="s">
        <v>25</v>
      </c>
      <c r="C12" s="441"/>
      <c r="D12" s="442" t="s">
        <v>26</v>
      </c>
      <c r="E12" s="443"/>
      <c r="F12" s="441"/>
      <c r="G12" s="442" t="s">
        <v>27</v>
      </c>
      <c r="H12" s="443"/>
      <c r="I12" s="441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40" t="s">
        <v>30</v>
      </c>
      <c r="C13" s="441"/>
      <c r="D13" s="442" t="s">
        <v>31</v>
      </c>
      <c r="E13" s="443"/>
      <c r="F13" s="441"/>
      <c r="G13" s="442" t="s">
        <v>32</v>
      </c>
      <c r="H13" s="443"/>
      <c r="I13" s="441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40" t="s">
        <v>33</v>
      </c>
      <c r="C14" s="441"/>
      <c r="D14" s="442" t="s">
        <v>34</v>
      </c>
      <c r="E14" s="443"/>
      <c r="F14" s="441"/>
      <c r="G14" s="442" t="s">
        <v>23</v>
      </c>
      <c r="H14" s="443"/>
      <c r="I14" s="441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40" t="s">
        <v>35</v>
      </c>
      <c r="C15" s="441"/>
      <c r="D15" s="442" t="s">
        <v>36</v>
      </c>
      <c r="E15" s="443"/>
      <c r="F15" s="441"/>
      <c r="G15" s="442" t="s">
        <v>23</v>
      </c>
      <c r="H15" s="443"/>
      <c r="I15" s="441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40" t="s">
        <v>37</v>
      </c>
      <c r="C16" s="441"/>
      <c r="D16" s="442" t="s">
        <v>38</v>
      </c>
      <c r="E16" s="443"/>
      <c r="F16" s="441"/>
      <c r="G16" s="442" t="s">
        <v>23</v>
      </c>
      <c r="H16" s="443"/>
      <c r="I16" s="441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40" t="s">
        <v>39</v>
      </c>
      <c r="C17" s="441"/>
      <c r="D17" s="442" t="s">
        <v>40</v>
      </c>
      <c r="E17" s="443"/>
      <c r="F17" s="441"/>
      <c r="G17" s="442" t="s">
        <v>41</v>
      </c>
      <c r="H17" s="443"/>
      <c r="I17" s="441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40" t="s">
        <v>42</v>
      </c>
      <c r="C18" s="441"/>
      <c r="D18" s="442" t="s">
        <v>43</v>
      </c>
      <c r="E18" s="443"/>
      <c r="F18" s="441"/>
      <c r="G18" s="442" t="s">
        <v>23</v>
      </c>
      <c r="H18" s="443"/>
      <c r="I18" s="441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40" t="s">
        <v>44</v>
      </c>
      <c r="C19" s="441"/>
      <c r="D19" s="442" t="s">
        <v>45</v>
      </c>
      <c r="E19" s="443"/>
      <c r="F19" s="441"/>
      <c r="G19" s="442" t="s">
        <v>23</v>
      </c>
      <c r="H19" s="443"/>
      <c r="I19" s="441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40" t="s">
        <v>46</v>
      </c>
      <c r="C20" s="441"/>
      <c r="D20" s="442" t="s">
        <v>47</v>
      </c>
      <c r="E20" s="443"/>
      <c r="F20" s="441"/>
      <c r="G20" s="442" t="s">
        <v>23</v>
      </c>
      <c r="H20" s="443"/>
      <c r="I20" s="441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40" t="s">
        <v>48</v>
      </c>
      <c r="C21" s="441"/>
      <c r="D21" s="442" t="s">
        <v>49</v>
      </c>
      <c r="E21" s="443"/>
      <c r="F21" s="441"/>
      <c r="G21" s="442" t="s">
        <v>23</v>
      </c>
      <c r="H21" s="443"/>
      <c r="I21" s="441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40" t="s">
        <v>50</v>
      </c>
      <c r="C22" s="441"/>
      <c r="D22" s="442" t="s">
        <v>51</v>
      </c>
      <c r="E22" s="443"/>
      <c r="F22" s="441"/>
      <c r="G22" s="442" t="s">
        <v>51</v>
      </c>
      <c r="H22" s="443"/>
      <c r="I22" s="441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40" t="s">
        <v>52</v>
      </c>
      <c r="C23" s="441"/>
      <c r="D23" s="442" t="s">
        <v>53</v>
      </c>
      <c r="E23" s="443"/>
      <c r="F23" s="441"/>
      <c r="G23" s="442" t="s">
        <v>23</v>
      </c>
      <c r="H23" s="443"/>
      <c r="I23" s="441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40" t="s">
        <v>54</v>
      </c>
      <c r="C24" s="441"/>
      <c r="D24" s="442" t="s">
        <v>53</v>
      </c>
      <c r="E24" s="443"/>
      <c r="F24" s="441"/>
      <c r="G24" s="442" t="s">
        <v>23</v>
      </c>
      <c r="H24" s="443"/>
      <c r="I24" s="441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G20:I20"/>
    <mergeCell ref="B18:C18"/>
    <mergeCell ref="D18:F18"/>
    <mergeCell ref="G18:I18"/>
    <mergeCell ref="B19:C19"/>
    <mergeCell ref="D19:F19"/>
    <mergeCell ref="G19:I19"/>
    <mergeCell ref="B20:C20"/>
    <mergeCell ref="H2:I2"/>
    <mergeCell ref="H3:I3"/>
    <mergeCell ref="B8:C8"/>
    <mergeCell ref="D8:F8"/>
    <mergeCell ref="G8:I8"/>
    <mergeCell ref="D9:F9"/>
    <mergeCell ref="G9:I9"/>
    <mergeCell ref="B9:C9"/>
    <mergeCell ref="B10:C10"/>
    <mergeCell ref="D10:F10"/>
    <mergeCell ref="G10:I10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B15:C15"/>
    <mergeCell ref="D15:F15"/>
    <mergeCell ref="G15:I15"/>
    <mergeCell ref="B16:C16"/>
    <mergeCell ref="D16:F16"/>
    <mergeCell ref="G16:I16"/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11" sqref="G11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47" t="s">
        <v>86</v>
      </c>
      <c r="C20" s="441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47" t="s">
        <v>87</v>
      </c>
      <c r="C21" s="441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selection activeCell="C1" sqref="C1:X1048576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/>
    </row>
    <row r="430" spans="1:2" ht="15.75" customHeight="1" x14ac:dyDescent="0.15">
      <c r="A430" s="62">
        <v>428</v>
      </c>
      <c r="B430" s="61"/>
    </row>
    <row r="431" spans="1:2" ht="15.75" customHeight="1" x14ac:dyDescent="0.15">
      <c r="A431" s="62">
        <v>429</v>
      </c>
      <c r="B431" s="61"/>
    </row>
    <row r="432" spans="1:2" ht="15.75" customHeight="1" x14ac:dyDescent="0.15">
      <c r="A432" s="62">
        <v>430</v>
      </c>
      <c r="B432" s="61"/>
    </row>
    <row r="433" spans="1:2" ht="15.75" customHeight="1" x14ac:dyDescent="0.15">
      <c r="A433" s="62">
        <v>431</v>
      </c>
      <c r="B433" s="61"/>
    </row>
    <row r="434" spans="1:2" ht="15.75" customHeight="1" x14ac:dyDescent="0.15">
      <c r="A434" s="62">
        <v>432</v>
      </c>
      <c r="B434" s="61"/>
    </row>
    <row r="435" spans="1:2" ht="15.75" customHeight="1" x14ac:dyDescent="0.15">
      <c r="A435" s="62">
        <v>433</v>
      </c>
      <c r="B435" s="61"/>
    </row>
    <row r="436" spans="1:2" ht="15.75" customHeight="1" x14ac:dyDescent="0.15">
      <c r="A436" s="62">
        <v>434</v>
      </c>
      <c r="B436" s="61"/>
    </row>
    <row r="437" spans="1:2" ht="15.75" customHeight="1" x14ac:dyDescent="0.15">
      <c r="A437" s="62">
        <v>435</v>
      </c>
      <c r="B437" s="61"/>
    </row>
    <row r="438" spans="1:2" ht="15.75" customHeight="1" x14ac:dyDescent="0.15">
      <c r="A438" s="62">
        <v>436</v>
      </c>
      <c r="B438" s="61"/>
    </row>
    <row r="439" spans="1:2" ht="15.75" customHeight="1" x14ac:dyDescent="0.15">
      <c r="A439" s="62">
        <v>437</v>
      </c>
      <c r="B439" s="61"/>
    </row>
    <row r="440" spans="1:2" ht="15.75" customHeight="1" x14ac:dyDescent="0.15">
      <c r="A440" s="62">
        <v>438</v>
      </c>
      <c r="B440" s="61"/>
    </row>
    <row r="441" spans="1:2" ht="15.75" customHeight="1" x14ac:dyDescent="0.15">
      <c r="A441" s="62">
        <v>439</v>
      </c>
      <c r="B441" s="61"/>
    </row>
    <row r="442" spans="1:2" ht="15.75" customHeight="1" x14ac:dyDescent="0.15">
      <c r="A442" s="62">
        <v>440</v>
      </c>
      <c r="B442" s="61"/>
    </row>
    <row r="443" spans="1:2" ht="15.75" customHeight="1" x14ac:dyDescent="0.15">
      <c r="A443" s="62">
        <v>441</v>
      </c>
      <c r="B443" s="61"/>
    </row>
    <row r="444" spans="1:2" ht="15.75" customHeight="1" x14ac:dyDescent="0.15">
      <c r="A444" s="62">
        <v>442</v>
      </c>
      <c r="B444" s="61"/>
    </row>
    <row r="445" spans="1:2" ht="15.75" customHeight="1" x14ac:dyDescent="0.15">
      <c r="A445" s="62">
        <v>443</v>
      </c>
      <c r="B445" s="61"/>
    </row>
    <row r="446" spans="1:2" ht="15.75" customHeight="1" x14ac:dyDescent="0.15">
      <c r="A446" s="62">
        <v>444</v>
      </c>
      <c r="B446" s="61"/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/>
    </row>
    <row r="449" spans="1:2" ht="15.75" customHeight="1" x14ac:dyDescent="0.15">
      <c r="A449" s="62">
        <v>447</v>
      </c>
      <c r="B449" s="61"/>
    </row>
    <row r="450" spans="1:2" ht="15.75" customHeight="1" x14ac:dyDescent="0.15">
      <c r="A450" s="62">
        <v>448</v>
      </c>
      <c r="B450" s="61"/>
    </row>
    <row r="451" spans="1:2" ht="15.75" customHeight="1" x14ac:dyDescent="0.15">
      <c r="A451" s="62">
        <v>449</v>
      </c>
      <c r="B451" s="61">
        <v>8500</v>
      </c>
    </row>
    <row r="452" spans="1:2" ht="15.75" customHeight="1" x14ac:dyDescent="0.15">
      <c r="A452" s="66">
        <v>450</v>
      </c>
      <c r="B452" s="65"/>
    </row>
    <row r="453" spans="1:2" ht="15.75" customHeight="1" x14ac:dyDescent="0.15">
      <c r="A453" s="62">
        <v>451</v>
      </c>
      <c r="B453" s="61"/>
    </row>
    <row r="454" spans="1:2" ht="15.75" customHeight="1" x14ac:dyDescent="0.15">
      <c r="A454" s="62">
        <v>452</v>
      </c>
      <c r="B454" s="61"/>
    </row>
    <row r="455" spans="1:2" ht="15.75" customHeight="1" x14ac:dyDescent="0.15">
      <c r="A455" s="62">
        <v>453</v>
      </c>
      <c r="B455" s="61"/>
    </row>
    <row r="456" spans="1:2" ht="15.75" customHeight="1" x14ac:dyDescent="0.15">
      <c r="A456" s="62">
        <v>454</v>
      </c>
      <c r="B456" s="61"/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10000</v>
      </c>
    </row>
    <row r="463" spans="1:2" ht="15.75" customHeight="1" x14ac:dyDescent="0.15">
      <c r="A463" s="62">
        <v>461</v>
      </c>
      <c r="B463" s="61">
        <v>10200</v>
      </c>
    </row>
    <row r="464" spans="1:2" ht="15.75" customHeight="1" x14ac:dyDescent="0.15">
      <c r="A464" s="62">
        <v>462</v>
      </c>
      <c r="B464" s="61">
        <v>10400</v>
      </c>
    </row>
    <row r="465" spans="1:2" ht="15.75" customHeight="1" x14ac:dyDescent="0.15">
      <c r="A465" s="62">
        <v>463</v>
      </c>
      <c r="B465" s="61">
        <v>10600</v>
      </c>
    </row>
    <row r="466" spans="1:2" ht="15.75" customHeight="1" x14ac:dyDescent="0.15">
      <c r="A466" s="62">
        <v>464</v>
      </c>
      <c r="B466" s="61">
        <v>10800</v>
      </c>
    </row>
    <row r="467" spans="1:2" ht="15.75" customHeight="1" x14ac:dyDescent="0.15">
      <c r="A467" s="62">
        <v>465</v>
      </c>
      <c r="B467" s="61">
        <v>11000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/>
    </row>
    <row r="470" spans="1:2" ht="15.75" customHeight="1" x14ac:dyDescent="0.15">
      <c r="A470" s="62">
        <v>468</v>
      </c>
      <c r="B470" s="61"/>
    </row>
    <row r="471" spans="1:2" ht="15.75" customHeight="1" x14ac:dyDescent="0.15">
      <c r="A471" s="62">
        <v>469</v>
      </c>
      <c r="B471" s="61"/>
    </row>
    <row r="472" spans="1:2" ht="15.75" customHeight="1" x14ac:dyDescent="0.15">
      <c r="A472" s="62">
        <v>470</v>
      </c>
      <c r="B472" s="61"/>
    </row>
    <row r="473" spans="1:2" ht="15.75" customHeight="1" x14ac:dyDescent="0.15">
      <c r="A473" s="62">
        <v>471</v>
      </c>
      <c r="B473" s="61"/>
    </row>
    <row r="474" spans="1:2" ht="15.75" customHeight="1" x14ac:dyDescent="0.15">
      <c r="A474" s="62">
        <v>472</v>
      </c>
      <c r="B474" s="61"/>
    </row>
    <row r="475" spans="1:2" ht="15.75" customHeight="1" x14ac:dyDescent="0.15">
      <c r="A475" s="62">
        <v>473</v>
      </c>
      <c r="B475" s="61"/>
    </row>
    <row r="476" spans="1:2" ht="15.75" customHeight="1" x14ac:dyDescent="0.15">
      <c r="A476" s="62">
        <v>474</v>
      </c>
      <c r="B476" s="61"/>
    </row>
    <row r="477" spans="1:2" ht="15.75" customHeight="1" x14ac:dyDescent="0.15">
      <c r="A477" s="62">
        <v>475</v>
      </c>
      <c r="B477" s="61"/>
    </row>
    <row r="478" spans="1:2" ht="15.75" customHeight="1" x14ac:dyDescent="0.15">
      <c r="A478" s="62">
        <v>476</v>
      </c>
      <c r="B478" s="61"/>
    </row>
    <row r="479" spans="1:2" ht="15.75" customHeight="1" x14ac:dyDescent="0.15">
      <c r="A479" s="62">
        <v>477</v>
      </c>
      <c r="B479" s="61"/>
    </row>
    <row r="480" spans="1:2" ht="15.75" customHeight="1" x14ac:dyDescent="0.15">
      <c r="A480" s="62">
        <v>478</v>
      </c>
      <c r="B480" s="61"/>
    </row>
    <row r="481" spans="1:2" ht="15.75" customHeight="1" x14ac:dyDescent="0.15">
      <c r="A481" s="62">
        <v>479</v>
      </c>
      <c r="B481" s="61"/>
    </row>
    <row r="482" spans="1:2" ht="15.75" customHeight="1" x14ac:dyDescent="0.15">
      <c r="A482" s="62">
        <v>480</v>
      </c>
      <c r="B482" s="61"/>
    </row>
    <row r="483" spans="1:2" ht="15.75" customHeight="1" x14ac:dyDescent="0.15">
      <c r="A483" s="62">
        <v>481</v>
      </c>
      <c r="B483" s="61"/>
    </row>
    <row r="484" spans="1:2" ht="15.75" customHeight="1" x14ac:dyDescent="0.15">
      <c r="A484" s="62">
        <v>482</v>
      </c>
      <c r="B484" s="61"/>
    </row>
    <row r="485" spans="1:2" ht="15.75" customHeight="1" x14ac:dyDescent="0.15">
      <c r="A485" s="62">
        <v>483</v>
      </c>
      <c r="B485" s="61"/>
    </row>
    <row r="486" spans="1:2" ht="15.75" customHeight="1" x14ac:dyDescent="0.15">
      <c r="A486" s="62">
        <v>484</v>
      </c>
      <c r="B486" s="61"/>
    </row>
    <row r="487" spans="1:2" ht="15.75" customHeight="1" x14ac:dyDescent="0.15">
      <c r="A487" s="62">
        <v>485</v>
      </c>
      <c r="B487" s="61"/>
    </row>
    <row r="488" spans="1:2" ht="15.75" customHeight="1" x14ac:dyDescent="0.15">
      <c r="A488" s="62">
        <v>486</v>
      </c>
      <c r="B488" s="61"/>
    </row>
    <row r="489" spans="1:2" ht="15.75" customHeight="1" x14ac:dyDescent="0.15">
      <c r="A489" s="62">
        <v>487</v>
      </c>
      <c r="B489" s="61"/>
    </row>
    <row r="490" spans="1:2" ht="15.75" customHeight="1" x14ac:dyDescent="0.15">
      <c r="A490" s="62">
        <v>488</v>
      </c>
      <c r="B490" s="61"/>
    </row>
    <row r="491" spans="1:2" ht="15.75" customHeight="1" x14ac:dyDescent="0.15">
      <c r="A491" s="62">
        <v>489</v>
      </c>
      <c r="B491" s="61"/>
    </row>
    <row r="492" spans="1:2" ht="15.75" customHeight="1" x14ac:dyDescent="0.15">
      <c r="A492" s="62">
        <v>490</v>
      </c>
      <c r="B492" s="61"/>
    </row>
    <row r="493" spans="1:2" ht="15.75" customHeight="1" x14ac:dyDescent="0.15">
      <c r="A493" s="62">
        <v>491</v>
      </c>
      <c r="B493" s="61"/>
    </row>
    <row r="494" spans="1:2" ht="15.75" customHeight="1" x14ac:dyDescent="0.15">
      <c r="A494" s="62">
        <v>492</v>
      </c>
      <c r="B494" s="61"/>
    </row>
    <row r="495" spans="1:2" ht="15.75" customHeight="1" x14ac:dyDescent="0.15">
      <c r="A495" s="62">
        <v>493</v>
      </c>
      <c r="B495" s="61"/>
    </row>
    <row r="496" spans="1:2" ht="15.75" customHeight="1" x14ac:dyDescent="0.15">
      <c r="A496" s="62">
        <v>494</v>
      </c>
      <c r="B496" s="61"/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zoomScale="140" zoomScaleNormal="140" workbookViewId="0">
      <selection activeCell="G33" sqref="G3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32">
        <f t="shared" si="0"/>
        <v>47000</v>
      </c>
      <c r="I32" s="132">
        <f t="shared" si="1"/>
        <v>188000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60" t="s">
        <v>157</v>
      </c>
      <c r="C1" s="451"/>
      <c r="D1" s="451"/>
      <c r="E1" s="451"/>
      <c r="F1" s="451"/>
      <c r="G1" s="451"/>
      <c r="H1" s="451"/>
      <c r="I1" s="451"/>
      <c r="J1" s="451"/>
      <c r="K1" s="452"/>
      <c r="L1" s="461" t="s">
        <v>157</v>
      </c>
      <c r="M1" s="451"/>
      <c r="N1" s="451"/>
      <c r="O1" s="451"/>
      <c r="P1" s="451"/>
      <c r="Q1" s="451"/>
      <c r="R1" s="451"/>
      <c r="S1" s="451"/>
      <c r="T1" s="451"/>
      <c r="U1" s="452"/>
      <c r="V1" s="462" t="s">
        <v>158</v>
      </c>
      <c r="W1" s="451"/>
      <c r="X1" s="462" t="s">
        <v>159</v>
      </c>
      <c r="Y1" s="451"/>
      <c r="Z1" s="451"/>
      <c r="AA1" s="451"/>
      <c r="AB1" s="451"/>
      <c r="AC1" s="451"/>
      <c r="AD1" s="451"/>
      <c r="AE1" s="452"/>
      <c r="AF1" s="450" t="s">
        <v>158</v>
      </c>
      <c r="AG1" s="451"/>
      <c r="AH1" s="450" t="s">
        <v>159</v>
      </c>
      <c r="AI1" s="451"/>
      <c r="AJ1" s="451"/>
      <c r="AK1" s="451"/>
      <c r="AL1" s="451"/>
      <c r="AM1" s="451"/>
      <c r="AN1" s="451"/>
      <c r="AO1" s="452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53" t="s">
        <v>51</v>
      </c>
      <c r="I2" s="443"/>
      <c r="J2" s="443"/>
      <c r="K2" s="443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60" t="s">
        <v>160</v>
      </c>
      <c r="C3" s="451"/>
      <c r="D3" s="451"/>
      <c r="E3" s="451"/>
      <c r="F3" s="451"/>
      <c r="G3" s="451"/>
      <c r="H3" s="451"/>
      <c r="I3" s="451"/>
      <c r="J3" s="451"/>
      <c r="K3" s="452"/>
      <c r="L3" s="461" t="s">
        <v>161</v>
      </c>
      <c r="M3" s="451"/>
      <c r="N3" s="451"/>
      <c r="O3" s="451"/>
      <c r="P3" s="451"/>
      <c r="Q3" s="451"/>
      <c r="R3" s="451"/>
      <c r="S3" s="451"/>
      <c r="T3" s="451"/>
      <c r="U3" s="452"/>
      <c r="V3" s="462" t="s">
        <v>162</v>
      </c>
      <c r="W3" s="451"/>
      <c r="X3" s="451"/>
      <c r="Y3" s="451"/>
      <c r="Z3" s="451"/>
      <c r="AA3" s="451"/>
      <c r="AB3" s="451"/>
      <c r="AC3" s="451"/>
      <c r="AD3" s="451"/>
      <c r="AE3" s="452"/>
      <c r="AF3" s="464" t="s">
        <v>163</v>
      </c>
      <c r="AG3" s="451"/>
      <c r="AH3" s="451"/>
      <c r="AI3" s="451"/>
      <c r="AJ3" s="451"/>
      <c r="AK3" s="451"/>
      <c r="AL3" s="451"/>
      <c r="AM3" s="451"/>
      <c r="AN3" s="451"/>
      <c r="AO3" s="452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54" t="s">
        <v>164</v>
      </c>
      <c r="C4" s="445"/>
      <c r="D4" s="454" t="s">
        <v>165</v>
      </c>
      <c r="E4" s="445"/>
      <c r="F4" s="454" t="s">
        <v>166</v>
      </c>
      <c r="G4" s="445"/>
      <c r="H4" s="454" t="s">
        <v>167</v>
      </c>
      <c r="I4" s="445"/>
      <c r="J4" s="454" t="s">
        <v>168</v>
      </c>
      <c r="K4" s="455"/>
      <c r="L4" s="456" t="s">
        <v>169</v>
      </c>
      <c r="M4" s="445"/>
      <c r="N4" s="457" t="s">
        <v>170</v>
      </c>
      <c r="O4" s="445"/>
      <c r="P4" s="457" t="s">
        <v>171</v>
      </c>
      <c r="Q4" s="445"/>
      <c r="R4" s="457" t="s">
        <v>172</v>
      </c>
      <c r="S4" s="445"/>
      <c r="T4" s="457" t="s">
        <v>173</v>
      </c>
      <c r="U4" s="455"/>
      <c r="V4" s="458" t="s">
        <v>174</v>
      </c>
      <c r="W4" s="445"/>
      <c r="X4" s="459" t="s">
        <v>175</v>
      </c>
      <c r="Y4" s="445"/>
      <c r="Z4" s="459" t="s">
        <v>176</v>
      </c>
      <c r="AA4" s="445"/>
      <c r="AB4" s="459" t="s">
        <v>177</v>
      </c>
      <c r="AC4" s="445"/>
      <c r="AD4" s="459" t="s">
        <v>178</v>
      </c>
      <c r="AE4" s="455"/>
      <c r="AF4" s="463" t="s">
        <v>179</v>
      </c>
      <c r="AG4" s="445"/>
      <c r="AH4" s="463" t="s">
        <v>131</v>
      </c>
      <c r="AI4" s="445"/>
      <c r="AJ4" s="463" t="s">
        <v>76</v>
      </c>
      <c r="AK4" s="445"/>
      <c r="AL4" s="463" t="s">
        <v>129</v>
      </c>
      <c r="AM4" s="445"/>
      <c r="AN4" s="463" t="s">
        <v>180</v>
      </c>
      <c r="AO4" s="455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/>
      <c r="I61" s="214"/>
      <c r="J61" s="194"/>
      <c r="K61" s="194"/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/>
      <c r="I62" s="214"/>
      <c r="J62" s="194"/>
      <c r="K62" s="194"/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214">
        <v>36</v>
      </c>
      <c r="F64" s="194">
        <v>2000</v>
      </c>
      <c r="G64" s="194">
        <v>180</v>
      </c>
      <c r="H64" s="214"/>
      <c r="I64" s="214"/>
      <c r="J64" s="194"/>
      <c r="K64" s="194"/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48" t="s">
        <v>113</v>
      </c>
      <c r="C65" s="443"/>
      <c r="D65" s="443"/>
      <c r="E65" s="443"/>
      <c r="F65" s="443"/>
      <c r="G65" s="443"/>
      <c r="H65" s="443"/>
      <c r="I65" s="443"/>
      <c r="J65" s="443"/>
      <c r="K65" s="441"/>
      <c r="L65" s="448" t="s">
        <v>113</v>
      </c>
      <c r="M65" s="443"/>
      <c r="N65" s="443"/>
      <c r="O65" s="443"/>
      <c r="P65" s="443"/>
      <c r="Q65" s="443"/>
      <c r="R65" s="443"/>
      <c r="S65" s="443"/>
      <c r="T65" s="443"/>
      <c r="U65" s="441"/>
      <c r="V65" s="448" t="s">
        <v>113</v>
      </c>
      <c r="W65" s="443"/>
      <c r="X65" s="443"/>
      <c r="Y65" s="443"/>
      <c r="Z65" s="443"/>
      <c r="AA65" s="443"/>
      <c r="AB65" s="443"/>
      <c r="AC65" s="443"/>
      <c r="AD65" s="443"/>
      <c r="AE65" s="441"/>
      <c r="AF65" s="449" t="s">
        <v>113</v>
      </c>
      <c r="AG65" s="443"/>
      <c r="AH65" s="443"/>
      <c r="AI65" s="443"/>
      <c r="AJ65" s="443"/>
      <c r="AK65" s="443"/>
      <c r="AL65" s="443"/>
      <c r="AM65" s="443"/>
      <c r="AN65" s="443"/>
      <c r="AO65" s="441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AF1:AG1"/>
    <mergeCell ref="AF4:AG4"/>
    <mergeCell ref="AH4:AI4"/>
    <mergeCell ref="AJ4:AK4"/>
    <mergeCell ref="AL4:AM4"/>
    <mergeCell ref="AF3:AO3"/>
    <mergeCell ref="AN4:AO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67" t="s">
        <v>197</v>
      </c>
      <c r="B1" s="445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62" t="s">
        <v>199</v>
      </c>
      <c r="B2" s="451"/>
      <c r="C2" s="451"/>
      <c r="D2" s="452"/>
      <c r="E2" s="194"/>
      <c r="F2" s="468" t="s">
        <v>200</v>
      </c>
      <c r="G2" s="451"/>
      <c r="H2" s="451"/>
      <c r="I2" s="452"/>
      <c r="J2" s="194"/>
      <c r="K2" s="469" t="s">
        <v>201</v>
      </c>
      <c r="L2" s="451"/>
      <c r="M2" s="452"/>
      <c r="N2" s="59"/>
      <c r="O2" s="55"/>
      <c r="P2" s="470" t="s">
        <v>202</v>
      </c>
      <c r="Q2" s="443"/>
      <c r="R2" s="441"/>
      <c r="S2" s="465" t="s">
        <v>200</v>
      </c>
      <c r="T2" s="443"/>
      <c r="U2" s="441"/>
      <c r="V2" s="466" t="s">
        <v>201</v>
      </c>
      <c r="W2" s="441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spans="1:25" ht="15.75" customHeight="1" x14ac:dyDescent="0.2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54" t="s">
        <v>211</v>
      </c>
      <c r="P18" s="55"/>
      <c r="Q18" s="55"/>
      <c r="R18" s="59"/>
      <c r="S18" s="59"/>
      <c r="T18" s="59"/>
      <c r="U18" s="59"/>
      <c r="V18" s="59"/>
      <c r="W18" s="59"/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239" t="s">
        <v>100</v>
      </c>
      <c r="P19" s="226" t="s">
        <v>212</v>
      </c>
      <c r="Q19" s="227" t="s">
        <v>213</v>
      </c>
      <c r="R19" s="59"/>
      <c r="S19" s="59"/>
      <c r="T19" s="59"/>
      <c r="U19" s="59"/>
      <c r="V19" s="59"/>
      <c r="W19" s="59"/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260">
        <v>30</v>
      </c>
      <c r="P20" s="261">
        <v>35</v>
      </c>
      <c r="Q20" s="262">
        <v>1</v>
      </c>
      <c r="R20" s="59"/>
      <c r="S20" s="59"/>
      <c r="T20" s="59"/>
      <c r="U20" s="59"/>
      <c r="V20" s="59"/>
      <c r="W20" s="59"/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170">
        <v>35</v>
      </c>
      <c r="P21" s="263">
        <v>40</v>
      </c>
      <c r="Q21" s="264">
        <v>1</v>
      </c>
      <c r="R21" s="59"/>
      <c r="S21" s="59"/>
      <c r="T21" s="59"/>
      <c r="U21" s="59"/>
      <c r="V21" s="59"/>
      <c r="W21" s="59"/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O22" s="170">
        <v>40</v>
      </c>
      <c r="P22" s="263">
        <v>45</v>
      </c>
      <c r="Q22" s="264">
        <v>1</v>
      </c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O23" s="170">
        <v>45</v>
      </c>
      <c r="P23" s="263">
        <v>50</v>
      </c>
      <c r="Q23" s="264">
        <v>2</v>
      </c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15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170">
        <v>50</v>
      </c>
      <c r="P24" s="263">
        <v>55</v>
      </c>
      <c r="Q24" s="264">
        <v>2</v>
      </c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15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265">
        <v>55</v>
      </c>
      <c r="P25" s="266">
        <v>60</v>
      </c>
      <c r="Q25" s="267">
        <v>3</v>
      </c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8">
        <v>30</v>
      </c>
      <c r="B33" s="269">
        <v>62500</v>
      </c>
      <c r="C33" s="270">
        <v>125000</v>
      </c>
      <c r="D33" s="271">
        <v>250000</v>
      </c>
      <c r="E33" s="194"/>
      <c r="F33" s="268">
        <v>30</v>
      </c>
      <c r="G33" s="269">
        <v>125000</v>
      </c>
      <c r="H33" s="270">
        <v>187500</v>
      </c>
      <c r="I33" s="271">
        <v>375000</v>
      </c>
      <c r="J33" s="194"/>
      <c r="K33" s="272">
        <v>30</v>
      </c>
      <c r="L33" s="270">
        <v>250000</v>
      </c>
      <c r="M33" s="271">
        <v>500000</v>
      </c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8">
        <v>31</v>
      </c>
      <c r="B34" s="269">
        <v>65000</v>
      </c>
      <c r="C34" s="270">
        <v>130000</v>
      </c>
      <c r="D34" s="271">
        <v>260000</v>
      </c>
      <c r="E34" s="194"/>
      <c r="F34" s="268">
        <v>31</v>
      </c>
      <c r="G34" s="269">
        <v>130000</v>
      </c>
      <c r="H34" s="270">
        <v>195000</v>
      </c>
      <c r="I34" s="271">
        <v>390000</v>
      </c>
      <c r="J34" s="194"/>
      <c r="K34" s="272">
        <v>31</v>
      </c>
      <c r="L34" s="270">
        <v>260000</v>
      </c>
      <c r="M34" s="271">
        <v>520000</v>
      </c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8">
        <v>32</v>
      </c>
      <c r="B35" s="269">
        <v>67500</v>
      </c>
      <c r="C35" s="270">
        <v>135000</v>
      </c>
      <c r="D35" s="271">
        <v>270000</v>
      </c>
      <c r="E35" s="194"/>
      <c r="F35" s="268">
        <v>32</v>
      </c>
      <c r="G35" s="269">
        <v>135000</v>
      </c>
      <c r="H35" s="270">
        <v>202500</v>
      </c>
      <c r="I35" s="271">
        <v>405000</v>
      </c>
      <c r="J35" s="194"/>
      <c r="K35" s="272">
        <v>32</v>
      </c>
      <c r="L35" s="270">
        <v>270000</v>
      </c>
      <c r="M35" s="271">
        <v>540000</v>
      </c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8">
        <v>33</v>
      </c>
      <c r="B36" s="269">
        <v>70000</v>
      </c>
      <c r="C36" s="270">
        <v>140000</v>
      </c>
      <c r="D36" s="271">
        <v>280000</v>
      </c>
      <c r="E36" s="194"/>
      <c r="F36" s="268">
        <v>33</v>
      </c>
      <c r="G36" s="269">
        <v>140000</v>
      </c>
      <c r="H36" s="270">
        <v>210000</v>
      </c>
      <c r="I36" s="271">
        <v>420000</v>
      </c>
      <c r="J36" s="194"/>
      <c r="K36" s="272">
        <v>33</v>
      </c>
      <c r="L36" s="270">
        <v>280000</v>
      </c>
      <c r="M36" s="271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8">
        <v>34</v>
      </c>
      <c r="B37" s="269">
        <v>72500</v>
      </c>
      <c r="C37" s="270">
        <v>145000</v>
      </c>
      <c r="D37" s="271">
        <v>290000</v>
      </c>
      <c r="E37" s="194"/>
      <c r="F37" s="268">
        <v>34</v>
      </c>
      <c r="G37" s="269">
        <v>145000</v>
      </c>
      <c r="H37" s="270">
        <v>217500</v>
      </c>
      <c r="I37" s="271">
        <v>435000</v>
      </c>
      <c r="J37" s="194"/>
      <c r="K37" s="272">
        <v>34</v>
      </c>
      <c r="L37" s="270">
        <v>290000</v>
      </c>
      <c r="M37" s="271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73">
        <v>35</v>
      </c>
      <c r="B38" s="274">
        <v>75000</v>
      </c>
      <c r="C38" s="275">
        <v>150000</v>
      </c>
      <c r="D38" s="276">
        <v>300000</v>
      </c>
      <c r="E38" s="194"/>
      <c r="F38" s="273">
        <v>35</v>
      </c>
      <c r="G38" s="274">
        <v>150000</v>
      </c>
      <c r="H38" s="275">
        <v>225000</v>
      </c>
      <c r="I38" s="276">
        <v>450000</v>
      </c>
      <c r="J38" s="194"/>
      <c r="K38" s="277">
        <v>35</v>
      </c>
      <c r="L38" s="275">
        <v>300000</v>
      </c>
      <c r="M38" s="276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73">
        <v>36</v>
      </c>
      <c r="B39" s="274">
        <v>77500</v>
      </c>
      <c r="C39" s="275">
        <v>155000</v>
      </c>
      <c r="D39" s="276">
        <v>310000</v>
      </c>
      <c r="E39" s="194"/>
      <c r="F39" s="273">
        <v>36</v>
      </c>
      <c r="G39" s="274">
        <v>155000</v>
      </c>
      <c r="H39" s="275">
        <v>232500</v>
      </c>
      <c r="I39" s="276">
        <v>465000</v>
      </c>
      <c r="J39" s="194"/>
      <c r="K39" s="277">
        <v>36</v>
      </c>
      <c r="L39" s="275">
        <v>310000</v>
      </c>
      <c r="M39" s="276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73">
        <v>37</v>
      </c>
      <c r="B40" s="274">
        <v>80000</v>
      </c>
      <c r="C40" s="275">
        <v>160000</v>
      </c>
      <c r="D40" s="276">
        <v>320000</v>
      </c>
      <c r="E40" s="194"/>
      <c r="F40" s="273">
        <v>37</v>
      </c>
      <c r="G40" s="274">
        <v>160000</v>
      </c>
      <c r="H40" s="275">
        <v>240000</v>
      </c>
      <c r="I40" s="276">
        <v>480000</v>
      </c>
      <c r="J40" s="194"/>
      <c r="K40" s="277">
        <v>37</v>
      </c>
      <c r="L40" s="275">
        <v>320000</v>
      </c>
      <c r="M40" s="276">
        <v>640000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73">
        <v>38</v>
      </c>
      <c r="B41" s="274">
        <v>82500</v>
      </c>
      <c r="C41" s="275">
        <v>165000</v>
      </c>
      <c r="D41" s="276">
        <v>330000</v>
      </c>
      <c r="E41" s="194"/>
      <c r="F41" s="273">
        <v>38</v>
      </c>
      <c r="G41" s="274">
        <v>165000</v>
      </c>
      <c r="H41" s="275">
        <v>247500</v>
      </c>
      <c r="I41" s="276">
        <v>495000</v>
      </c>
      <c r="J41" s="194"/>
      <c r="K41" s="277">
        <v>38</v>
      </c>
      <c r="L41" s="275">
        <v>330000</v>
      </c>
      <c r="M41" s="276">
        <v>660000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73">
        <v>39</v>
      </c>
      <c r="B42" s="274">
        <v>85000</v>
      </c>
      <c r="C42" s="275">
        <v>170000</v>
      </c>
      <c r="D42" s="276">
        <v>340000</v>
      </c>
      <c r="E42" s="194"/>
      <c r="F42" s="273">
        <v>39</v>
      </c>
      <c r="G42" s="274">
        <v>170000</v>
      </c>
      <c r="H42" s="275">
        <v>255000</v>
      </c>
      <c r="I42" s="276">
        <v>510000</v>
      </c>
      <c r="J42" s="194"/>
      <c r="K42" s="277">
        <v>39</v>
      </c>
      <c r="L42" s="275">
        <v>340000</v>
      </c>
      <c r="M42" s="276">
        <v>680000</v>
      </c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8">
        <v>40</v>
      </c>
      <c r="B43" s="279">
        <v>87500</v>
      </c>
      <c r="C43" s="280">
        <v>175000</v>
      </c>
      <c r="D43" s="281">
        <v>350000</v>
      </c>
      <c r="E43" s="194"/>
      <c r="F43" s="278">
        <v>40</v>
      </c>
      <c r="G43" s="279">
        <v>175000</v>
      </c>
      <c r="H43" s="280">
        <v>262500</v>
      </c>
      <c r="I43" s="281">
        <v>525000</v>
      </c>
      <c r="J43" s="194"/>
      <c r="K43" s="282">
        <v>40</v>
      </c>
      <c r="L43" s="280">
        <v>350000</v>
      </c>
      <c r="M43" s="281">
        <v>700000</v>
      </c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8">
        <v>41</v>
      </c>
      <c r="B44" s="279">
        <v>90000</v>
      </c>
      <c r="C44" s="280">
        <v>180000</v>
      </c>
      <c r="D44" s="281">
        <v>360000</v>
      </c>
      <c r="E44" s="194"/>
      <c r="F44" s="278">
        <v>41</v>
      </c>
      <c r="G44" s="279">
        <v>180000</v>
      </c>
      <c r="H44" s="280">
        <v>270000</v>
      </c>
      <c r="I44" s="281">
        <v>540000</v>
      </c>
      <c r="J44" s="194"/>
      <c r="K44" s="282">
        <v>41</v>
      </c>
      <c r="L44" s="280">
        <v>360000</v>
      </c>
      <c r="M44" s="281">
        <v>720000</v>
      </c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8">
        <v>42</v>
      </c>
      <c r="B45" s="279">
        <v>92500</v>
      </c>
      <c r="C45" s="280">
        <v>185000</v>
      </c>
      <c r="D45" s="281">
        <v>370000</v>
      </c>
      <c r="E45" s="194"/>
      <c r="F45" s="278">
        <v>42</v>
      </c>
      <c r="G45" s="279">
        <v>185000</v>
      </c>
      <c r="H45" s="280">
        <v>277500</v>
      </c>
      <c r="I45" s="281">
        <v>555000</v>
      </c>
      <c r="J45" s="194"/>
      <c r="K45" s="282">
        <v>42</v>
      </c>
      <c r="L45" s="280">
        <v>370000</v>
      </c>
      <c r="M45" s="281">
        <v>740000</v>
      </c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8">
        <v>43</v>
      </c>
      <c r="B46" s="279">
        <v>95000</v>
      </c>
      <c r="C46" s="280">
        <v>190000</v>
      </c>
      <c r="D46" s="281">
        <v>380000</v>
      </c>
      <c r="E46" s="194"/>
      <c r="F46" s="278">
        <v>43</v>
      </c>
      <c r="G46" s="279">
        <v>190000</v>
      </c>
      <c r="H46" s="280">
        <v>285000</v>
      </c>
      <c r="I46" s="281">
        <v>570000</v>
      </c>
      <c r="J46" s="194"/>
      <c r="K46" s="282">
        <v>43</v>
      </c>
      <c r="L46" s="280">
        <v>380000</v>
      </c>
      <c r="M46" s="281">
        <v>760000</v>
      </c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8">
        <v>44</v>
      </c>
      <c r="B47" s="279">
        <v>97500</v>
      </c>
      <c r="C47" s="280">
        <v>195000</v>
      </c>
      <c r="D47" s="281">
        <v>390000</v>
      </c>
      <c r="E47" s="194"/>
      <c r="F47" s="278">
        <v>44</v>
      </c>
      <c r="G47" s="279">
        <v>195000</v>
      </c>
      <c r="H47" s="280">
        <v>292500</v>
      </c>
      <c r="I47" s="281">
        <v>585000</v>
      </c>
      <c r="J47" s="194"/>
      <c r="K47" s="282">
        <v>44</v>
      </c>
      <c r="L47" s="280">
        <v>390000</v>
      </c>
      <c r="M47" s="281">
        <v>780000</v>
      </c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83">
        <v>45</v>
      </c>
      <c r="B48" s="284">
        <v>100000</v>
      </c>
      <c r="C48" s="285">
        <v>200000</v>
      </c>
      <c r="D48" s="286">
        <v>400000</v>
      </c>
      <c r="E48" s="194"/>
      <c r="F48" s="283">
        <v>45</v>
      </c>
      <c r="G48" s="284">
        <v>200000</v>
      </c>
      <c r="H48" s="285">
        <v>300000</v>
      </c>
      <c r="I48" s="286">
        <v>600000</v>
      </c>
      <c r="J48" s="194"/>
      <c r="K48" s="287">
        <v>45</v>
      </c>
      <c r="L48" s="285">
        <v>400000</v>
      </c>
      <c r="M48" s="286">
        <v>800000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83">
        <v>46</v>
      </c>
      <c r="B49" s="284">
        <v>102500</v>
      </c>
      <c r="C49" s="285">
        <v>205000</v>
      </c>
      <c r="D49" s="286">
        <v>410000</v>
      </c>
      <c r="E49" s="194"/>
      <c r="F49" s="283">
        <v>46</v>
      </c>
      <c r="G49" s="284">
        <v>205000</v>
      </c>
      <c r="H49" s="285">
        <v>307500</v>
      </c>
      <c r="I49" s="286">
        <v>615000</v>
      </c>
      <c r="J49" s="194"/>
      <c r="K49" s="287">
        <v>46</v>
      </c>
      <c r="L49" s="285">
        <v>410000</v>
      </c>
      <c r="M49" s="286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83">
        <v>47</v>
      </c>
      <c r="B50" s="284">
        <v>105000</v>
      </c>
      <c r="C50" s="285">
        <v>210000</v>
      </c>
      <c r="D50" s="286">
        <v>420000</v>
      </c>
      <c r="E50" s="194"/>
      <c r="F50" s="283">
        <v>47</v>
      </c>
      <c r="G50" s="284">
        <v>210000</v>
      </c>
      <c r="H50" s="285">
        <v>315000</v>
      </c>
      <c r="I50" s="286">
        <v>630000</v>
      </c>
      <c r="J50" s="194"/>
      <c r="K50" s="287">
        <v>47</v>
      </c>
      <c r="L50" s="285">
        <v>420000</v>
      </c>
      <c r="M50" s="286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83">
        <v>48</v>
      </c>
      <c r="B51" s="284">
        <v>107500</v>
      </c>
      <c r="C51" s="285">
        <v>215000</v>
      </c>
      <c r="D51" s="286">
        <v>430000</v>
      </c>
      <c r="E51" s="194"/>
      <c r="F51" s="283">
        <v>48</v>
      </c>
      <c r="G51" s="284">
        <v>215000</v>
      </c>
      <c r="H51" s="285">
        <v>322500</v>
      </c>
      <c r="I51" s="286">
        <v>645000</v>
      </c>
      <c r="J51" s="194"/>
      <c r="K51" s="287">
        <v>48</v>
      </c>
      <c r="L51" s="285">
        <v>430000</v>
      </c>
      <c r="M51" s="286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83">
        <v>49</v>
      </c>
      <c r="B52" s="284">
        <v>110000</v>
      </c>
      <c r="C52" s="285">
        <v>220000</v>
      </c>
      <c r="D52" s="286">
        <v>440000</v>
      </c>
      <c r="E52" s="194"/>
      <c r="F52" s="283">
        <v>49</v>
      </c>
      <c r="G52" s="284">
        <v>220000</v>
      </c>
      <c r="H52" s="285">
        <v>330000</v>
      </c>
      <c r="I52" s="286">
        <v>660000</v>
      </c>
      <c r="J52" s="194"/>
      <c r="K52" s="287">
        <v>49</v>
      </c>
      <c r="L52" s="285">
        <v>440000</v>
      </c>
      <c r="M52" s="286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8">
        <v>50</v>
      </c>
      <c r="B53" s="192">
        <v>112500</v>
      </c>
      <c r="C53" s="193">
        <v>225000</v>
      </c>
      <c r="D53" s="289">
        <v>450000</v>
      </c>
      <c r="E53" s="194"/>
      <c r="F53" s="288">
        <v>50</v>
      </c>
      <c r="G53" s="192">
        <v>225000</v>
      </c>
      <c r="H53" s="193">
        <v>337500</v>
      </c>
      <c r="I53" s="289">
        <v>675000</v>
      </c>
      <c r="J53" s="194"/>
      <c r="K53" s="290">
        <v>50</v>
      </c>
      <c r="L53" s="193">
        <v>450000</v>
      </c>
      <c r="M53" s="289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8">
        <v>51</v>
      </c>
      <c r="B54" s="192">
        <v>115000</v>
      </c>
      <c r="C54" s="193">
        <v>230000</v>
      </c>
      <c r="D54" s="289">
        <v>460000</v>
      </c>
      <c r="E54" s="194"/>
      <c r="F54" s="288">
        <v>51</v>
      </c>
      <c r="G54" s="192">
        <v>230000</v>
      </c>
      <c r="H54" s="193">
        <v>345000</v>
      </c>
      <c r="I54" s="289">
        <v>690000</v>
      </c>
      <c r="J54" s="194"/>
      <c r="K54" s="290">
        <v>51</v>
      </c>
      <c r="L54" s="193">
        <v>460000</v>
      </c>
      <c r="M54" s="289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8">
        <v>52</v>
      </c>
      <c r="B55" s="192">
        <v>117500</v>
      </c>
      <c r="C55" s="193">
        <v>235000</v>
      </c>
      <c r="D55" s="289">
        <v>470000</v>
      </c>
      <c r="E55" s="194"/>
      <c r="F55" s="288">
        <v>52</v>
      </c>
      <c r="G55" s="192">
        <v>235000</v>
      </c>
      <c r="H55" s="193">
        <v>352500</v>
      </c>
      <c r="I55" s="289">
        <v>705000</v>
      </c>
      <c r="J55" s="194"/>
      <c r="K55" s="290">
        <v>52</v>
      </c>
      <c r="L55" s="193">
        <v>470000</v>
      </c>
      <c r="M55" s="289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8">
        <v>53</v>
      </c>
      <c r="B56" s="192">
        <v>120000</v>
      </c>
      <c r="C56" s="193">
        <v>240000</v>
      </c>
      <c r="D56" s="289">
        <v>480000</v>
      </c>
      <c r="E56" s="194"/>
      <c r="F56" s="288">
        <v>53</v>
      </c>
      <c r="G56" s="192">
        <v>240000</v>
      </c>
      <c r="H56" s="193">
        <v>360000</v>
      </c>
      <c r="I56" s="289">
        <v>720000</v>
      </c>
      <c r="J56" s="194"/>
      <c r="K56" s="290">
        <v>53</v>
      </c>
      <c r="L56" s="193">
        <v>480000</v>
      </c>
      <c r="M56" s="289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8">
        <v>54</v>
      </c>
      <c r="B57" s="192">
        <v>122500</v>
      </c>
      <c r="C57" s="193">
        <v>245000</v>
      </c>
      <c r="D57" s="289">
        <v>490000</v>
      </c>
      <c r="E57" s="194"/>
      <c r="F57" s="288">
        <v>54</v>
      </c>
      <c r="G57" s="192">
        <v>245000</v>
      </c>
      <c r="H57" s="193">
        <v>367500</v>
      </c>
      <c r="I57" s="289">
        <v>735000</v>
      </c>
      <c r="J57" s="194"/>
      <c r="K57" s="290">
        <v>54</v>
      </c>
      <c r="L57" s="193">
        <v>490000</v>
      </c>
      <c r="M57" s="289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91">
        <v>55</v>
      </c>
      <c r="B58" s="292">
        <v>125000</v>
      </c>
      <c r="C58" s="293">
        <v>250000</v>
      </c>
      <c r="D58" s="294">
        <v>500000</v>
      </c>
      <c r="E58" s="194"/>
      <c r="F58" s="291">
        <v>55</v>
      </c>
      <c r="G58" s="292">
        <v>250000</v>
      </c>
      <c r="H58" s="293">
        <v>375000</v>
      </c>
      <c r="I58" s="294">
        <v>750000</v>
      </c>
      <c r="J58" s="194"/>
      <c r="K58" s="295">
        <v>55</v>
      </c>
      <c r="L58" s="293">
        <v>500000</v>
      </c>
      <c r="M58" s="294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91">
        <v>56</v>
      </c>
      <c r="B59" s="292">
        <v>127500</v>
      </c>
      <c r="C59" s="293">
        <v>255000</v>
      </c>
      <c r="D59" s="294">
        <v>510000</v>
      </c>
      <c r="E59" s="194"/>
      <c r="F59" s="291">
        <v>56</v>
      </c>
      <c r="G59" s="292">
        <v>255000</v>
      </c>
      <c r="H59" s="293">
        <v>382500</v>
      </c>
      <c r="I59" s="294">
        <v>765000</v>
      </c>
      <c r="J59" s="194"/>
      <c r="K59" s="295">
        <v>56</v>
      </c>
      <c r="L59" s="293">
        <v>510000</v>
      </c>
      <c r="M59" s="294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91">
        <v>57</v>
      </c>
      <c r="B60" s="292">
        <v>130000</v>
      </c>
      <c r="C60" s="293">
        <v>260000</v>
      </c>
      <c r="D60" s="294">
        <v>520000</v>
      </c>
      <c r="E60" s="194"/>
      <c r="F60" s="291">
        <v>57</v>
      </c>
      <c r="G60" s="292">
        <v>260000</v>
      </c>
      <c r="H60" s="293">
        <v>390000</v>
      </c>
      <c r="I60" s="294">
        <v>780000</v>
      </c>
      <c r="J60" s="194"/>
      <c r="K60" s="295">
        <v>57</v>
      </c>
      <c r="L60" s="293">
        <v>520000</v>
      </c>
      <c r="M60" s="294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91">
        <v>58</v>
      </c>
      <c r="B61" s="292">
        <v>132500</v>
      </c>
      <c r="C61" s="293">
        <v>265000</v>
      </c>
      <c r="D61" s="294">
        <v>530000</v>
      </c>
      <c r="E61" s="194"/>
      <c r="F61" s="291">
        <v>58</v>
      </c>
      <c r="G61" s="292">
        <v>265000</v>
      </c>
      <c r="H61" s="293">
        <v>397500</v>
      </c>
      <c r="I61" s="294">
        <v>795000</v>
      </c>
      <c r="J61" s="194"/>
      <c r="K61" s="295">
        <v>58</v>
      </c>
      <c r="L61" s="293">
        <v>530000</v>
      </c>
      <c r="M61" s="294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91">
        <v>59</v>
      </c>
      <c r="B62" s="292">
        <v>135000</v>
      </c>
      <c r="C62" s="293">
        <v>270000</v>
      </c>
      <c r="D62" s="294">
        <v>540000</v>
      </c>
      <c r="E62" s="194"/>
      <c r="F62" s="291">
        <v>59</v>
      </c>
      <c r="G62" s="292">
        <v>270000</v>
      </c>
      <c r="H62" s="293">
        <v>405000</v>
      </c>
      <c r="I62" s="294">
        <v>810000</v>
      </c>
      <c r="J62" s="194"/>
      <c r="K62" s="295">
        <v>59</v>
      </c>
      <c r="L62" s="293">
        <v>540000</v>
      </c>
      <c r="M62" s="294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296">
        <v>60</v>
      </c>
      <c r="B63" s="297" t="s">
        <v>113</v>
      </c>
      <c r="C63" s="298" t="s">
        <v>113</v>
      </c>
      <c r="D63" s="299" t="s">
        <v>113</v>
      </c>
      <c r="E63" s="194"/>
      <c r="F63" s="296">
        <v>60</v>
      </c>
      <c r="G63" s="297" t="s">
        <v>113</v>
      </c>
      <c r="H63" s="298" t="s">
        <v>113</v>
      </c>
      <c r="I63" s="299" t="s">
        <v>113</v>
      </c>
      <c r="J63" s="194"/>
      <c r="K63" s="300">
        <v>60</v>
      </c>
      <c r="L63" s="298" t="s">
        <v>113</v>
      </c>
      <c r="M63" s="299" t="s">
        <v>113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abSelected="1" workbookViewId="0">
      <selection activeCell="H21" sqref="H21"/>
    </sheetView>
  </sheetViews>
  <sheetFormatPr baseColWidth="10" defaultColWidth="12.6640625" defaultRowHeight="15" customHeight="1" x14ac:dyDescent="0.15"/>
  <cols>
    <col min="1" max="1" width="5.1640625" customWidth="1"/>
    <col min="2" max="2" width="9" customWidth="1"/>
    <col min="3" max="3" width="6.6640625" customWidth="1"/>
    <col min="4" max="4" width="8.1640625" customWidth="1"/>
    <col min="5" max="5" width="9.5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84"/>
      <c r="C1" s="301"/>
      <c r="D1" s="84" t="s">
        <v>215</v>
      </c>
      <c r="E1" s="84"/>
      <c r="F1" s="84"/>
      <c r="G1" s="84"/>
      <c r="H1" s="301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302" t="s">
        <v>100</v>
      </c>
      <c r="B2" s="303" t="s">
        <v>216</v>
      </c>
      <c r="C2" s="304"/>
      <c r="D2" s="305" t="s">
        <v>205</v>
      </c>
      <c r="E2" s="305" t="s">
        <v>216</v>
      </c>
      <c r="F2" s="306" t="s">
        <v>98</v>
      </c>
      <c r="G2" s="307" t="s">
        <v>217</v>
      </c>
      <c r="H2" s="308" t="s">
        <v>218</v>
      </c>
      <c r="I2" s="309"/>
      <c r="J2" s="309"/>
      <c r="K2" s="309"/>
      <c r="L2" s="309"/>
      <c r="M2" s="309"/>
      <c r="N2" s="309"/>
      <c r="O2" s="309"/>
      <c r="P2" s="309"/>
      <c r="Q2" s="309"/>
      <c r="R2" s="309"/>
    </row>
    <row r="3" spans="1:18" ht="15.75" customHeight="1" x14ac:dyDescent="0.15">
      <c r="A3" s="310"/>
      <c r="B3" s="311"/>
      <c r="C3" s="24"/>
      <c r="D3" s="314" t="s">
        <v>219</v>
      </c>
      <c r="E3" s="126">
        <v>70600</v>
      </c>
      <c r="F3" s="315"/>
      <c r="G3" s="129">
        <v>70600</v>
      </c>
      <c r="H3" s="31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16">
        <v>1</v>
      </c>
      <c r="B4" s="24">
        <v>100</v>
      </c>
      <c r="C4" s="24"/>
      <c r="D4" s="314" t="s">
        <v>220</v>
      </c>
      <c r="E4" s="126">
        <v>293000</v>
      </c>
      <c r="F4" s="317">
        <v>50</v>
      </c>
      <c r="G4" s="129">
        <v>363600</v>
      </c>
      <c r="H4" s="31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16">
        <v>2</v>
      </c>
      <c r="B5" s="24">
        <v>200</v>
      </c>
      <c r="C5" s="24"/>
      <c r="D5" s="314" t="s">
        <v>221</v>
      </c>
      <c r="E5" s="126">
        <v>920000</v>
      </c>
      <c r="F5" s="317">
        <v>100</v>
      </c>
      <c r="G5" s="129">
        <v>1283600</v>
      </c>
      <c r="H5" s="31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16">
        <v>3</v>
      </c>
      <c r="B6" s="24">
        <v>300</v>
      </c>
      <c r="C6" s="24"/>
      <c r="D6" s="314" t="s">
        <v>222</v>
      </c>
      <c r="E6" s="126">
        <v>2350000</v>
      </c>
      <c r="F6" s="317">
        <v>200</v>
      </c>
      <c r="G6" s="129">
        <v>3633600</v>
      </c>
      <c r="H6" s="31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16">
        <v>4</v>
      </c>
      <c r="B7" s="24">
        <v>400</v>
      </c>
      <c r="C7" s="24"/>
      <c r="D7" s="314" t="s">
        <v>223</v>
      </c>
      <c r="E7" s="126">
        <v>5780000</v>
      </c>
      <c r="F7" s="317">
        <v>450</v>
      </c>
      <c r="G7" s="129">
        <v>9413600</v>
      </c>
      <c r="H7" s="31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16">
        <v>5</v>
      </c>
      <c r="B8" s="24">
        <v>500</v>
      </c>
      <c r="C8" s="24"/>
      <c r="D8" s="314" t="s">
        <v>224</v>
      </c>
      <c r="E8" s="126">
        <v>29550000</v>
      </c>
      <c r="F8" s="317">
        <v>700</v>
      </c>
      <c r="G8" s="129">
        <v>38963600</v>
      </c>
      <c r="H8" s="31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16">
        <v>6</v>
      </c>
      <c r="B9" s="24">
        <v>600</v>
      </c>
      <c r="C9" s="24"/>
      <c r="D9" s="314" t="s">
        <v>225</v>
      </c>
      <c r="E9" s="126">
        <v>11500000</v>
      </c>
      <c r="F9" s="317">
        <v>800</v>
      </c>
      <c r="G9" s="129">
        <v>50463600</v>
      </c>
      <c r="H9" s="31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16">
        <v>7</v>
      </c>
      <c r="B10" s="24">
        <v>700</v>
      </c>
      <c r="C10" s="24"/>
      <c r="D10" s="314" t="s">
        <v>226</v>
      </c>
      <c r="E10" s="126">
        <v>14000000</v>
      </c>
      <c r="F10" s="317">
        <v>800</v>
      </c>
      <c r="G10" s="129">
        <v>64463600</v>
      </c>
      <c r="H10" s="31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16">
        <v>8</v>
      </c>
      <c r="B11" s="24">
        <v>800</v>
      </c>
      <c r="C11" s="24"/>
      <c r="D11" s="314" t="s">
        <v>227</v>
      </c>
      <c r="E11" s="126">
        <v>16500000</v>
      </c>
      <c r="F11" s="317">
        <v>800</v>
      </c>
      <c r="G11" s="129">
        <v>80963600</v>
      </c>
      <c r="H11" s="31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16">
        <v>9</v>
      </c>
      <c r="B12" s="24">
        <v>1000</v>
      </c>
      <c r="C12" s="24"/>
      <c r="D12" s="314" t="s">
        <v>228</v>
      </c>
      <c r="E12" s="126">
        <v>19000000</v>
      </c>
      <c r="F12" s="317">
        <v>800</v>
      </c>
      <c r="G12" s="129">
        <v>99963600</v>
      </c>
      <c r="H12" s="31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16">
        <v>10</v>
      </c>
      <c r="B13" s="24">
        <v>2000</v>
      </c>
      <c r="C13" s="24"/>
      <c r="D13" s="314" t="s">
        <v>229</v>
      </c>
      <c r="E13" s="126">
        <v>21500000</v>
      </c>
      <c r="F13" s="317">
        <v>1200</v>
      </c>
      <c r="G13" s="129">
        <v>121463600</v>
      </c>
      <c r="H13" s="31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16">
        <v>11</v>
      </c>
      <c r="B14" s="24">
        <v>3000</v>
      </c>
      <c r="C14" s="24"/>
      <c r="D14" s="314" t="s">
        <v>230</v>
      </c>
      <c r="E14" s="126">
        <v>24000000</v>
      </c>
      <c r="F14" s="317">
        <v>1200</v>
      </c>
      <c r="G14" s="129">
        <v>145463600</v>
      </c>
      <c r="H14" s="31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16">
        <v>12</v>
      </c>
      <c r="B15" s="24">
        <v>4000</v>
      </c>
      <c r="C15" s="24"/>
      <c r="D15" s="314" t="s">
        <v>231</v>
      </c>
      <c r="E15" s="126">
        <v>26500000</v>
      </c>
      <c r="F15" s="317">
        <v>1200</v>
      </c>
      <c r="G15" s="129">
        <v>171963600</v>
      </c>
      <c r="H15" s="31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16">
        <v>13</v>
      </c>
      <c r="B16" s="24">
        <v>5000</v>
      </c>
      <c r="C16" s="24"/>
      <c r="D16" s="314" t="s">
        <v>232</v>
      </c>
      <c r="E16" s="126">
        <v>29000000</v>
      </c>
      <c r="F16" s="317">
        <v>1200</v>
      </c>
      <c r="G16" s="129">
        <v>200963600</v>
      </c>
      <c r="H16" s="31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16">
        <v>14</v>
      </c>
      <c r="B17" s="24">
        <v>6000</v>
      </c>
      <c r="C17" s="24"/>
      <c r="D17" s="314" t="s">
        <v>233</v>
      </c>
      <c r="E17" s="126">
        <v>31500000</v>
      </c>
      <c r="F17" s="317">
        <v>1600</v>
      </c>
      <c r="G17" s="129">
        <v>232463600</v>
      </c>
      <c r="H17" s="31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16">
        <v>15</v>
      </c>
      <c r="B18" s="24">
        <v>7000</v>
      </c>
      <c r="C18" s="24"/>
      <c r="D18" s="314" t="s">
        <v>234</v>
      </c>
      <c r="E18" s="126">
        <v>34000000</v>
      </c>
      <c r="F18" s="317">
        <v>1600</v>
      </c>
      <c r="G18" s="129">
        <v>266463600</v>
      </c>
      <c r="H18" s="31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16">
        <v>16</v>
      </c>
      <c r="B19" s="24">
        <v>8000</v>
      </c>
      <c r="C19" s="24"/>
      <c r="D19" s="314" t="s">
        <v>235</v>
      </c>
      <c r="E19" s="126">
        <v>36500000</v>
      </c>
      <c r="F19" s="317">
        <v>1600</v>
      </c>
      <c r="G19" s="129">
        <v>302963600</v>
      </c>
      <c r="H19" s="31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16">
        <v>17</v>
      </c>
      <c r="B20" s="24">
        <v>9000</v>
      </c>
      <c r="C20" s="24"/>
      <c r="D20" s="314" t="s">
        <v>236</v>
      </c>
      <c r="E20" s="126">
        <v>39000000</v>
      </c>
      <c r="F20" s="317">
        <v>1600</v>
      </c>
      <c r="G20" s="129">
        <v>341963600</v>
      </c>
      <c r="H20" s="317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16">
        <v>18</v>
      </c>
      <c r="B21" s="24">
        <v>10000</v>
      </c>
      <c r="C21" s="24"/>
      <c r="D21" s="314" t="s">
        <v>389</v>
      </c>
      <c r="E21" s="126">
        <v>41500000</v>
      </c>
      <c r="F21" s="317">
        <v>3200</v>
      </c>
      <c r="G21" s="129">
        <v>421963600</v>
      </c>
      <c r="H21" s="317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16">
        <v>19</v>
      </c>
      <c r="B22" s="24">
        <v>12000</v>
      </c>
      <c r="C22" s="24"/>
      <c r="D22" s="314" t="s">
        <v>390</v>
      </c>
      <c r="E22" s="126">
        <v>44000000</v>
      </c>
      <c r="F22" s="317">
        <v>3200</v>
      </c>
      <c r="G22" s="129">
        <v>596963600</v>
      </c>
      <c r="H22" s="317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18">
        <v>20</v>
      </c>
      <c r="B23" s="24">
        <v>14000</v>
      </c>
      <c r="C23" s="24"/>
      <c r="D23" s="314" t="s">
        <v>391</v>
      </c>
      <c r="E23" s="126">
        <v>46500000</v>
      </c>
      <c r="F23" s="317">
        <v>3200</v>
      </c>
      <c r="G23" s="129">
        <v>971963600</v>
      </c>
      <c r="H23" s="317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18">
        <v>21</v>
      </c>
      <c r="B24" s="24">
        <v>16000</v>
      </c>
      <c r="C24" s="24"/>
      <c r="D24" s="437" t="s">
        <v>392</v>
      </c>
      <c r="E24" s="438">
        <v>49000000</v>
      </c>
      <c r="F24" s="436">
        <v>3200</v>
      </c>
      <c r="G24" s="439">
        <v>1671963600</v>
      </c>
      <c r="H24" s="436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18">
        <v>22</v>
      </c>
      <c r="B25" s="24">
        <v>18000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18">
        <v>23</v>
      </c>
      <c r="B26" s="24">
        <v>20000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18">
        <v>24</v>
      </c>
      <c r="B27" s="24">
        <v>25000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18">
        <v>25</v>
      </c>
      <c r="B28" s="24">
        <v>30000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18">
        <v>26</v>
      </c>
      <c r="B29" s="24">
        <v>35000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18">
        <v>27</v>
      </c>
      <c r="B30" s="24">
        <v>40000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18">
        <v>28</v>
      </c>
      <c r="B31" s="24">
        <v>45000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19">
        <v>29</v>
      </c>
      <c r="B32" s="320">
        <v>50000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2">
        <v>30</v>
      </c>
      <c r="B33" s="24">
        <v>65000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12">
        <v>31</v>
      </c>
      <c r="B34" s="24">
        <v>70000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12">
        <v>32</v>
      </c>
      <c r="B35" s="24">
        <v>75000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12">
        <v>33</v>
      </c>
      <c r="B36" s="24">
        <v>80000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12">
        <v>34</v>
      </c>
      <c r="B37" s="24">
        <v>85000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12">
        <v>35</v>
      </c>
      <c r="B38" s="24">
        <v>90000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12">
        <v>36</v>
      </c>
      <c r="B39" s="24">
        <v>95000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12">
        <v>37</v>
      </c>
      <c r="B40" s="24">
        <v>110000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12">
        <v>38</v>
      </c>
      <c r="B41" s="24">
        <v>120000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12">
        <v>39</v>
      </c>
      <c r="B42" s="24">
        <v>130000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13">
        <v>40</v>
      </c>
      <c r="B43" s="24">
        <v>190000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13">
        <v>41</v>
      </c>
      <c r="B44" s="24">
        <v>200000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13">
        <v>42</v>
      </c>
      <c r="B45" s="24">
        <v>210000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13">
        <v>43</v>
      </c>
      <c r="B46" s="24">
        <v>220000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13">
        <v>44</v>
      </c>
      <c r="B47" s="24">
        <v>230000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13">
        <v>45</v>
      </c>
      <c r="B48" s="24">
        <v>240000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13">
        <v>46</v>
      </c>
      <c r="B49" s="24">
        <v>250000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13">
        <v>47</v>
      </c>
      <c r="B50" s="24">
        <v>260000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13">
        <v>48</v>
      </c>
      <c r="B51" s="24">
        <v>270000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13">
        <v>49</v>
      </c>
      <c r="B52" s="24">
        <v>280000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12">
        <v>50</v>
      </c>
      <c r="B53" s="24">
        <v>380000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12">
        <v>51</v>
      </c>
      <c r="B54" s="24">
        <v>400000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12">
        <v>52</v>
      </c>
      <c r="B55" s="24">
        <v>450000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12">
        <v>53</v>
      </c>
      <c r="B56" s="24">
        <v>500000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12">
        <v>54</v>
      </c>
      <c r="B57" s="24">
        <v>550000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12">
        <v>55</v>
      </c>
      <c r="B58" s="24">
        <v>600000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12">
        <v>56</v>
      </c>
      <c r="B59" s="24">
        <v>650000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12">
        <v>57</v>
      </c>
      <c r="B60" s="24">
        <v>700000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12">
        <v>58</v>
      </c>
      <c r="B61" s="24">
        <v>750000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21">
        <v>59</v>
      </c>
      <c r="B62" s="320">
        <v>800000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3">
        <v>60</v>
      </c>
      <c r="B63" s="24">
        <v>1000000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13">
        <v>61</v>
      </c>
      <c r="B64" s="24">
        <v>1050000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13">
        <v>62</v>
      </c>
      <c r="B65" s="24">
        <v>1100000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13">
        <v>63</v>
      </c>
      <c r="B66" s="24">
        <v>1150000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13">
        <v>64</v>
      </c>
      <c r="B67" s="24">
        <v>1200000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13">
        <v>65</v>
      </c>
      <c r="B68" s="24">
        <v>1250000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13">
        <v>66</v>
      </c>
      <c r="B69" s="24">
        <v>1300000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13">
        <v>67</v>
      </c>
      <c r="B70" s="24">
        <v>1350000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13">
        <v>68</v>
      </c>
      <c r="B71" s="24">
        <v>1400000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13">
        <v>69</v>
      </c>
      <c r="B72" s="24">
        <v>1450000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13">
        <v>70</v>
      </c>
      <c r="B73" s="24">
        <v>1500000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13">
        <v>71</v>
      </c>
      <c r="B74" s="24">
        <v>1550000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13">
        <v>72</v>
      </c>
      <c r="B75" s="24">
        <v>1600000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13">
        <v>73</v>
      </c>
      <c r="B76" s="24">
        <v>1650000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13">
        <v>74</v>
      </c>
      <c r="B77" s="24">
        <v>1700000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13">
        <v>75</v>
      </c>
      <c r="B78" s="24">
        <v>1750000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13">
        <v>76</v>
      </c>
      <c r="B79" s="24">
        <v>1800000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13">
        <v>77</v>
      </c>
      <c r="B80" s="24">
        <v>1850000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13">
        <v>78</v>
      </c>
      <c r="B81" s="24">
        <v>1900000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13">
        <v>79</v>
      </c>
      <c r="B82" s="24">
        <v>2000000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12">
        <v>80</v>
      </c>
      <c r="B83" s="24">
        <v>2100000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12">
        <v>81</v>
      </c>
      <c r="B84" s="24">
        <v>2200000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12">
        <v>82</v>
      </c>
      <c r="B85" s="24">
        <v>2300000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12">
        <v>83</v>
      </c>
      <c r="B86" s="24">
        <v>2400000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12">
        <v>84</v>
      </c>
      <c r="B87" s="24">
        <v>2500000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3">
        <v>85</v>
      </c>
      <c r="B88" s="24">
        <v>2600000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13">
        <v>86</v>
      </c>
      <c r="B89" s="24">
        <v>2700000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13">
        <v>87</v>
      </c>
      <c r="B90" s="24">
        <v>2800000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13">
        <v>88</v>
      </c>
      <c r="B91" s="24">
        <v>2900000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22">
        <v>89</v>
      </c>
      <c r="B92" s="320">
        <v>3000000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12">
        <v>90</v>
      </c>
      <c r="B93" s="24">
        <v>3100000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12">
        <v>91</v>
      </c>
      <c r="B94" s="24">
        <v>3200000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12">
        <v>92</v>
      </c>
      <c r="B95" s="24">
        <v>3300000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12">
        <v>93</v>
      </c>
      <c r="B96" s="24">
        <v>3400000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12">
        <v>94</v>
      </c>
      <c r="B97" s="24">
        <v>3500000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3">
        <v>95</v>
      </c>
      <c r="B98" s="24">
        <v>3600000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13">
        <v>96</v>
      </c>
      <c r="B99" s="24">
        <v>3700000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13">
        <v>97</v>
      </c>
      <c r="B100" s="24">
        <v>3800000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13">
        <v>98</v>
      </c>
      <c r="B101" s="24">
        <v>3900000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13">
        <v>99</v>
      </c>
      <c r="B102" s="24">
        <v>4000000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12">
        <v>100</v>
      </c>
      <c r="B103" s="24">
        <v>4100000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12">
        <v>101</v>
      </c>
      <c r="B104" s="24">
        <v>4200000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12">
        <v>102</v>
      </c>
      <c r="B105" s="24">
        <v>4300000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12">
        <v>103</v>
      </c>
      <c r="B106" s="24">
        <v>4400000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12">
        <v>104</v>
      </c>
      <c r="B107" s="24">
        <v>4500000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3">
        <v>105</v>
      </c>
      <c r="B108" s="24">
        <v>4600000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13">
        <v>106</v>
      </c>
      <c r="B109" s="24">
        <v>4700000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13">
        <v>107</v>
      </c>
      <c r="B110" s="24">
        <v>4800000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13">
        <v>108</v>
      </c>
      <c r="B111" s="24">
        <v>4900000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13">
        <v>109</v>
      </c>
      <c r="B112" s="24">
        <v>5000000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12">
        <v>110</v>
      </c>
      <c r="B113" s="24">
        <v>5100000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12">
        <v>111</v>
      </c>
      <c r="B114" s="24">
        <v>5200000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12">
        <v>112</v>
      </c>
      <c r="B115" s="24">
        <v>5300000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12">
        <v>113</v>
      </c>
      <c r="B116" s="24">
        <v>5400000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12">
        <v>114</v>
      </c>
      <c r="B117" s="24">
        <v>5500000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3">
        <v>115</v>
      </c>
      <c r="B118" s="24">
        <v>5600000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13">
        <v>116</v>
      </c>
      <c r="B119" s="24">
        <v>5700000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13">
        <v>117</v>
      </c>
      <c r="B120" s="24">
        <v>5800000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13">
        <v>118</v>
      </c>
      <c r="B121" s="24">
        <v>5900000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22">
        <v>119</v>
      </c>
      <c r="B122" s="320">
        <v>6000000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12">
        <v>120</v>
      </c>
      <c r="B123" s="151">
        <v>6100000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12">
        <v>121</v>
      </c>
      <c r="B124" s="151">
        <v>6200000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12">
        <v>122</v>
      </c>
      <c r="B125" s="151">
        <v>6300000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12">
        <v>123</v>
      </c>
      <c r="B126" s="151">
        <v>6400000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12">
        <v>124</v>
      </c>
      <c r="B127" s="151">
        <v>6500000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3">
        <v>125</v>
      </c>
      <c r="B128" s="151">
        <v>6600000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13">
        <v>126</v>
      </c>
      <c r="B129" s="151">
        <v>6700000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13">
        <v>127</v>
      </c>
      <c r="B130" s="151">
        <v>6800000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13">
        <v>128</v>
      </c>
      <c r="B131" s="151">
        <v>6900000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13">
        <v>129</v>
      </c>
      <c r="B132" s="151">
        <v>7000000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12">
        <v>130</v>
      </c>
      <c r="B133" s="151">
        <v>7100000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12">
        <v>131</v>
      </c>
      <c r="B134" s="151">
        <v>7200000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12">
        <v>132</v>
      </c>
      <c r="B135" s="151">
        <v>7300000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12">
        <v>133</v>
      </c>
      <c r="B136" s="151">
        <v>7400000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12">
        <v>134</v>
      </c>
      <c r="B137" s="151">
        <v>7500000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3">
        <v>135</v>
      </c>
      <c r="B138" s="151">
        <v>7600000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13">
        <v>136</v>
      </c>
      <c r="B139" s="151">
        <v>7700000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13">
        <v>137</v>
      </c>
      <c r="B140" s="151">
        <v>7800000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13">
        <v>138</v>
      </c>
      <c r="B141" s="151">
        <v>7900000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13">
        <v>139</v>
      </c>
      <c r="B142" s="151">
        <v>8000000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12">
        <v>140</v>
      </c>
      <c r="B143" s="151">
        <v>8100000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12">
        <v>141</v>
      </c>
      <c r="B144" s="151">
        <v>12000000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12">
        <v>142</v>
      </c>
      <c r="B145" s="151">
        <v>14000000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12">
        <v>143</v>
      </c>
      <c r="B146" s="151">
        <v>16000000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12">
        <v>144</v>
      </c>
      <c r="B147" s="151">
        <v>18000000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13">
        <v>145</v>
      </c>
      <c r="B148" s="151">
        <v>20000000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13">
        <v>146</v>
      </c>
      <c r="B149" s="151">
        <v>25000000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13">
        <v>147</v>
      </c>
      <c r="B150" s="151">
        <v>30000000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13">
        <v>148</v>
      </c>
      <c r="B151" s="151">
        <v>35000000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13">
        <v>149</v>
      </c>
      <c r="B152" s="151">
        <v>40000000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12">
        <v>150</v>
      </c>
      <c r="B153" s="151">
        <v>45000000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12">
        <v>151</v>
      </c>
      <c r="B154" s="151">
        <v>55000000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12">
        <v>152</v>
      </c>
      <c r="B155" s="151">
        <v>65000000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12">
        <v>153</v>
      </c>
      <c r="B156" s="151">
        <v>75000000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12">
        <v>154</v>
      </c>
      <c r="B157" s="151">
        <v>85000000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13">
        <v>155</v>
      </c>
      <c r="B158" s="151">
        <v>95000000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13">
        <v>156</v>
      </c>
      <c r="B159" s="151">
        <v>110000000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13">
        <v>157</v>
      </c>
      <c r="B160" s="151">
        <v>125000000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13">
        <v>158</v>
      </c>
      <c r="B161" s="151">
        <v>140000000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13">
        <v>159</v>
      </c>
      <c r="B162" s="151">
        <v>155000000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13">
        <v>160</v>
      </c>
      <c r="B163" s="151">
        <v>170000000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2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24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25" t="s">
        <v>257</v>
      </c>
      <c r="W2" s="59"/>
      <c r="X2" s="59"/>
      <c r="Y2" s="59"/>
      <c r="Z2" s="59"/>
    </row>
    <row r="3" spans="1:26" ht="15.75" customHeight="1" x14ac:dyDescent="0.15">
      <c r="A3" s="194"/>
      <c r="B3" s="326">
        <v>20</v>
      </c>
      <c r="C3" s="327">
        <v>90</v>
      </c>
      <c r="D3" s="328">
        <v>180</v>
      </c>
      <c r="E3" s="327">
        <v>390</v>
      </c>
      <c r="F3" s="328">
        <v>620</v>
      </c>
      <c r="G3" s="327">
        <v>1220</v>
      </c>
      <c r="H3" s="328">
        <v>1870</v>
      </c>
      <c r="I3" s="327">
        <v>2920</v>
      </c>
      <c r="J3" s="328">
        <v>4470</v>
      </c>
      <c r="K3" s="327">
        <v>6520</v>
      </c>
      <c r="L3" s="328">
        <v>8700</v>
      </c>
      <c r="M3" s="327">
        <v>9900</v>
      </c>
      <c r="N3" s="328">
        <v>11000</v>
      </c>
      <c r="O3" s="327">
        <v>13000</v>
      </c>
      <c r="P3" s="328">
        <v>15000</v>
      </c>
      <c r="Q3" s="327">
        <v>17000</v>
      </c>
      <c r="R3" s="328">
        <v>20000</v>
      </c>
      <c r="S3" s="327">
        <v>24000</v>
      </c>
      <c r="T3" s="328">
        <v>29000</v>
      </c>
      <c r="U3" s="327">
        <v>34000</v>
      </c>
      <c r="V3" s="329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30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30"/>
      <c r="C13" s="331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30"/>
      <c r="C14" s="331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31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30"/>
      <c r="C15" s="331"/>
      <c r="D15" s="194">
        <v>370</v>
      </c>
      <c r="E15" s="214">
        <v>550</v>
      </c>
      <c r="F15" s="194">
        <v>1170</v>
      </c>
      <c r="G15" s="214">
        <v>1620</v>
      </c>
      <c r="H15" s="331"/>
      <c r="I15" s="214">
        <v>4120</v>
      </c>
      <c r="J15" s="331"/>
      <c r="K15" s="331"/>
      <c r="L15" s="331"/>
      <c r="M15" s="331"/>
      <c r="N15" s="331"/>
      <c r="O15" s="331"/>
      <c r="P15" s="331"/>
      <c r="Q15" s="331"/>
      <c r="R15" s="331"/>
      <c r="S15" s="331"/>
      <c r="T15" s="331"/>
      <c r="U15" s="331"/>
      <c r="V15" s="332"/>
      <c r="W15" s="59"/>
      <c r="X15" s="59"/>
      <c r="Y15" s="59"/>
      <c r="Z15" s="59"/>
    </row>
    <row r="16" spans="1:26" ht="15.75" customHeight="1" x14ac:dyDescent="0.15">
      <c r="A16" s="194"/>
      <c r="B16" s="330"/>
      <c r="C16" s="331"/>
      <c r="D16" s="331"/>
      <c r="E16" s="214">
        <v>570</v>
      </c>
      <c r="F16" s="331"/>
      <c r="G16" s="214">
        <v>1670</v>
      </c>
      <c r="H16" s="331"/>
      <c r="I16" s="214">
        <v>4270</v>
      </c>
      <c r="J16" s="331"/>
      <c r="K16" s="331"/>
      <c r="L16" s="331"/>
      <c r="M16" s="331"/>
      <c r="N16" s="331"/>
      <c r="O16" s="331"/>
      <c r="P16" s="331"/>
      <c r="Q16" s="331"/>
      <c r="R16" s="331"/>
      <c r="S16" s="331"/>
      <c r="T16" s="331"/>
      <c r="U16" s="331"/>
      <c r="V16" s="332"/>
      <c r="W16" s="59"/>
      <c r="X16" s="59"/>
      <c r="Y16" s="59"/>
      <c r="Z16" s="59"/>
    </row>
    <row r="17" spans="1:26" ht="15.75" customHeight="1" x14ac:dyDescent="0.15">
      <c r="A17" s="194"/>
      <c r="B17" s="333"/>
      <c r="C17" s="334"/>
      <c r="D17" s="334"/>
      <c r="E17" s="335">
        <v>570</v>
      </c>
      <c r="F17" s="334"/>
      <c r="G17" s="335">
        <v>1770</v>
      </c>
      <c r="H17" s="334"/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4"/>
      <c r="T17" s="334"/>
      <c r="U17" s="334"/>
      <c r="V17" s="336"/>
      <c r="W17" s="59"/>
      <c r="X17" s="59"/>
      <c r="Y17" s="59"/>
      <c r="Z17" s="59"/>
    </row>
    <row r="18" spans="1:26" ht="15.75" customHeight="1" x14ac:dyDescent="0.15">
      <c r="A18" s="337" t="s">
        <v>258</v>
      </c>
      <c r="B18" s="338">
        <f t="shared" ref="B18:V18" si="0">SUM(B3:B17)</f>
        <v>400</v>
      </c>
      <c r="C18" s="339">
        <f t="shared" si="0"/>
        <v>1180</v>
      </c>
      <c r="D18" s="339">
        <f t="shared" si="0"/>
        <v>3610</v>
      </c>
      <c r="E18" s="339">
        <f t="shared" si="0"/>
        <v>7210</v>
      </c>
      <c r="F18" s="339">
        <f t="shared" si="0"/>
        <v>11310</v>
      </c>
      <c r="G18" s="339">
        <f t="shared" si="0"/>
        <v>21800</v>
      </c>
      <c r="H18" s="339">
        <f t="shared" si="0"/>
        <v>27840</v>
      </c>
      <c r="I18" s="339">
        <f t="shared" si="0"/>
        <v>49730</v>
      </c>
      <c r="J18" s="339">
        <f t="shared" si="0"/>
        <v>64440</v>
      </c>
      <c r="K18" s="339">
        <f t="shared" si="0"/>
        <v>80420</v>
      </c>
      <c r="L18" s="339">
        <f t="shared" si="0"/>
        <v>109800</v>
      </c>
      <c r="M18" s="339">
        <f t="shared" si="0"/>
        <v>125700</v>
      </c>
      <c r="N18" s="339">
        <f t="shared" si="0"/>
        <v>139800</v>
      </c>
      <c r="O18" s="339">
        <f t="shared" si="0"/>
        <v>162000</v>
      </c>
      <c r="P18" s="339">
        <f t="shared" si="0"/>
        <v>189000</v>
      </c>
      <c r="Q18" s="339">
        <f t="shared" si="0"/>
        <v>222000</v>
      </c>
      <c r="R18" s="339">
        <f t="shared" si="0"/>
        <v>258900</v>
      </c>
      <c r="S18" s="339">
        <f t="shared" si="0"/>
        <v>315000</v>
      </c>
      <c r="T18" s="339">
        <f t="shared" si="0"/>
        <v>372000</v>
      </c>
      <c r="U18" s="339">
        <f t="shared" si="0"/>
        <v>429000</v>
      </c>
      <c r="V18" s="340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41" t="s">
        <v>260</v>
      </c>
      <c r="C21" s="342" t="s">
        <v>261</v>
      </c>
      <c r="D21" s="342" t="s">
        <v>262</v>
      </c>
      <c r="E21" s="342" t="s">
        <v>263</v>
      </c>
      <c r="F21" s="342" t="s">
        <v>264</v>
      </c>
      <c r="G21" s="342" t="s">
        <v>265</v>
      </c>
      <c r="H21" s="342" t="s">
        <v>266</v>
      </c>
      <c r="I21" s="342" t="s">
        <v>267</v>
      </c>
      <c r="J21" s="342" t="s">
        <v>268</v>
      </c>
      <c r="K21" s="342" t="s">
        <v>269</v>
      </c>
      <c r="L21" s="342" t="s">
        <v>270</v>
      </c>
      <c r="M21" s="343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44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45">
        <v>1</v>
      </c>
      <c r="B23" s="126">
        <v>50</v>
      </c>
      <c r="C23" s="61">
        <v>50</v>
      </c>
      <c r="D23" s="61">
        <v>50</v>
      </c>
      <c r="E23" s="346"/>
      <c r="F23" s="55"/>
      <c r="G23" s="55"/>
      <c r="H23" s="55"/>
      <c r="I23" s="55"/>
      <c r="J23" s="55"/>
      <c r="K23" s="55"/>
      <c r="L23" s="55"/>
      <c r="M23" s="347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45">
        <v>2</v>
      </c>
      <c r="B24" s="172"/>
      <c r="C24" s="55"/>
      <c r="D24" s="55"/>
      <c r="E24" s="346"/>
      <c r="F24" s="55"/>
      <c r="G24" s="55"/>
      <c r="H24" s="55"/>
      <c r="I24" s="55"/>
      <c r="J24" s="55"/>
      <c r="K24" s="55"/>
      <c r="L24" s="55"/>
      <c r="M24" s="347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45">
        <v>3</v>
      </c>
      <c r="B25" s="172"/>
      <c r="C25" s="55"/>
      <c r="D25" s="55"/>
      <c r="E25" s="346"/>
      <c r="F25" s="55"/>
      <c r="G25" s="55"/>
      <c r="H25" s="55"/>
      <c r="I25" s="55"/>
      <c r="J25" s="55"/>
      <c r="K25" s="55"/>
      <c r="L25" s="55"/>
      <c r="M25" s="347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45">
        <v>4</v>
      </c>
      <c r="B26" s="172"/>
      <c r="C26" s="55"/>
      <c r="D26" s="55"/>
      <c r="E26" s="346"/>
      <c r="F26" s="55"/>
      <c r="G26" s="55"/>
      <c r="H26" s="55"/>
      <c r="I26" s="55"/>
      <c r="J26" s="55"/>
      <c r="K26" s="55"/>
      <c r="L26" s="55"/>
      <c r="M26" s="347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45">
        <v>5</v>
      </c>
      <c r="B27" s="172"/>
      <c r="C27" s="55"/>
      <c r="D27" s="55"/>
      <c r="E27" s="346"/>
      <c r="F27" s="55"/>
      <c r="G27" s="55"/>
      <c r="H27" s="55"/>
      <c r="I27" s="55"/>
      <c r="J27" s="55"/>
      <c r="K27" s="55"/>
      <c r="L27" s="55"/>
      <c r="M27" s="347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45">
        <v>6</v>
      </c>
      <c r="B28" s="172"/>
      <c r="C28" s="55"/>
      <c r="D28" s="55"/>
      <c r="E28" s="346"/>
      <c r="F28" s="55"/>
      <c r="G28" s="55"/>
      <c r="H28" s="55"/>
      <c r="I28" s="55"/>
      <c r="J28" s="55"/>
      <c r="K28" s="55"/>
      <c r="L28" s="55"/>
      <c r="M28" s="347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45">
        <v>7</v>
      </c>
      <c r="B29" s="172"/>
      <c r="C29" s="55"/>
      <c r="D29" s="55"/>
      <c r="E29" s="346"/>
      <c r="F29" s="55"/>
      <c r="G29" s="55"/>
      <c r="H29" s="55"/>
      <c r="I29" s="55"/>
      <c r="J29" s="55"/>
      <c r="K29" s="55"/>
      <c r="L29" s="55"/>
      <c r="M29" s="347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45">
        <v>8</v>
      </c>
      <c r="B30" s="126">
        <v>200</v>
      </c>
      <c r="C30" s="61">
        <v>200</v>
      </c>
      <c r="D30" s="61">
        <v>200</v>
      </c>
      <c r="E30" s="346"/>
      <c r="F30" s="55"/>
      <c r="G30" s="55"/>
      <c r="H30" s="55"/>
      <c r="I30" s="55"/>
      <c r="J30" s="55"/>
      <c r="K30" s="55"/>
      <c r="L30" s="55"/>
      <c r="M30" s="347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48">
        <v>9</v>
      </c>
      <c r="B31" s="126">
        <v>350</v>
      </c>
      <c r="C31" s="61">
        <v>350</v>
      </c>
      <c r="D31" s="61">
        <v>350</v>
      </c>
      <c r="E31" s="346"/>
      <c r="F31" s="55"/>
      <c r="G31" s="55"/>
      <c r="H31" s="55"/>
      <c r="I31" s="55"/>
      <c r="J31" s="55"/>
      <c r="K31" s="55"/>
      <c r="L31" s="55"/>
      <c r="M31" s="347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49" t="s">
        <v>258</v>
      </c>
      <c r="B32" s="349">
        <f t="shared" ref="B32:M32" si="1">SUM(B22:B31)</f>
        <v>650</v>
      </c>
      <c r="C32" s="350">
        <f t="shared" si="1"/>
        <v>650</v>
      </c>
      <c r="D32" s="350">
        <f t="shared" si="1"/>
        <v>650</v>
      </c>
      <c r="E32" s="350">
        <f t="shared" si="1"/>
        <v>100</v>
      </c>
      <c r="F32" s="350">
        <f t="shared" si="1"/>
        <v>100</v>
      </c>
      <c r="G32" s="350">
        <f t="shared" si="1"/>
        <v>100</v>
      </c>
      <c r="H32" s="350">
        <f t="shared" si="1"/>
        <v>200</v>
      </c>
      <c r="I32" s="350">
        <f t="shared" si="1"/>
        <v>200</v>
      </c>
      <c r="J32" s="350">
        <f t="shared" si="1"/>
        <v>200</v>
      </c>
      <c r="K32" s="350">
        <f t="shared" si="1"/>
        <v>200</v>
      </c>
      <c r="L32" s="350">
        <f t="shared" si="1"/>
        <v>200</v>
      </c>
      <c r="M32" s="351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52" t="s">
        <v>273</v>
      </c>
      <c r="C35" s="353" t="s">
        <v>274</v>
      </c>
      <c r="D35" s="353" t="s">
        <v>275</v>
      </c>
      <c r="E35" s="353" t="s">
        <v>276</v>
      </c>
      <c r="F35" s="353" t="s">
        <v>277</v>
      </c>
      <c r="G35" s="353" t="s">
        <v>278</v>
      </c>
      <c r="H35" s="353" t="s">
        <v>279</v>
      </c>
      <c r="I35" s="353" t="s">
        <v>280</v>
      </c>
      <c r="J35" s="353" t="s">
        <v>281</v>
      </c>
      <c r="K35" s="353" t="s">
        <v>282</v>
      </c>
      <c r="L35" s="353" t="s">
        <v>283</v>
      </c>
      <c r="M35" s="353" t="s">
        <v>284</v>
      </c>
      <c r="N35" s="353" t="s">
        <v>285</v>
      </c>
      <c r="O35" s="353" t="s">
        <v>286</v>
      </c>
      <c r="P35" s="353" t="s">
        <v>273</v>
      </c>
      <c r="Q35" s="354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44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45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45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45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45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45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45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45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45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48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49" t="s">
        <v>258</v>
      </c>
      <c r="B46" s="349">
        <f t="shared" ref="B46:Q46" si="2">SUM(B36:B45)</f>
        <v>800</v>
      </c>
      <c r="C46" s="350">
        <f t="shared" si="2"/>
        <v>1200</v>
      </c>
      <c r="D46" s="350">
        <f t="shared" si="2"/>
        <v>1200</v>
      </c>
      <c r="E46" s="350">
        <f t="shared" si="2"/>
        <v>1200</v>
      </c>
      <c r="F46" s="350">
        <f t="shared" si="2"/>
        <v>1200</v>
      </c>
      <c r="G46" s="350">
        <f t="shared" si="2"/>
        <v>1200</v>
      </c>
      <c r="H46" s="350">
        <f t="shared" si="2"/>
        <v>1200</v>
      </c>
      <c r="I46" s="350">
        <f t="shared" si="2"/>
        <v>1200</v>
      </c>
      <c r="J46" s="350">
        <f t="shared" si="2"/>
        <v>1200</v>
      </c>
      <c r="K46" s="350">
        <f t="shared" si="2"/>
        <v>1200</v>
      </c>
      <c r="L46" s="350">
        <f t="shared" si="2"/>
        <v>1200</v>
      </c>
      <c r="M46" s="350">
        <f t="shared" si="2"/>
        <v>1500</v>
      </c>
      <c r="N46" s="350">
        <f t="shared" si="2"/>
        <v>2000</v>
      </c>
      <c r="O46" s="350">
        <f t="shared" si="2"/>
        <v>2000</v>
      </c>
      <c r="P46" s="350">
        <f t="shared" si="2"/>
        <v>2000</v>
      </c>
      <c r="Q46" s="351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67" t="s">
        <v>288</v>
      </c>
      <c r="B1" s="445"/>
      <c r="C1" s="355"/>
      <c r="D1" s="56"/>
      <c r="E1" s="467" t="s">
        <v>289</v>
      </c>
      <c r="F1" s="445"/>
      <c r="G1" s="445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56" t="s">
        <v>100</v>
      </c>
      <c r="B2" s="356" t="s">
        <v>290</v>
      </c>
      <c r="C2" s="357" t="s">
        <v>291</v>
      </c>
      <c r="D2" s="59"/>
      <c r="E2" s="358" t="s">
        <v>100</v>
      </c>
      <c r="F2" s="358" t="s">
        <v>292</v>
      </c>
      <c r="G2" s="359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60">
        <v>15</v>
      </c>
      <c r="B17" s="361" t="s">
        <v>113</v>
      </c>
      <c r="C17" s="362"/>
      <c r="D17" s="59"/>
      <c r="E17" s="360">
        <v>15</v>
      </c>
      <c r="F17" s="361" t="s">
        <v>113</v>
      </c>
      <c r="G17" s="362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63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64"/>
      <c r="S1" s="364"/>
      <c r="T1" s="476" t="s">
        <v>164</v>
      </c>
      <c r="U1" s="445"/>
      <c r="V1" s="476" t="s">
        <v>165</v>
      </c>
      <c r="W1" s="445"/>
      <c r="X1" s="476" t="s">
        <v>166</v>
      </c>
      <c r="Y1" s="445"/>
      <c r="Z1" s="476" t="s">
        <v>167</v>
      </c>
      <c r="AA1" s="445"/>
      <c r="AB1" s="476" t="s">
        <v>168</v>
      </c>
      <c r="AC1" s="455"/>
      <c r="AD1" s="474" t="s">
        <v>169</v>
      </c>
      <c r="AE1" s="445"/>
      <c r="AF1" s="472" t="s">
        <v>170</v>
      </c>
      <c r="AG1" s="445"/>
      <c r="AH1" s="472" t="s">
        <v>171</v>
      </c>
      <c r="AI1" s="445"/>
      <c r="AJ1" s="472" t="s">
        <v>172</v>
      </c>
      <c r="AK1" s="445"/>
      <c r="AL1" s="472" t="s">
        <v>173</v>
      </c>
      <c r="AM1" s="455"/>
      <c r="AN1" s="473" t="s">
        <v>179</v>
      </c>
      <c r="AO1" s="445"/>
      <c r="AP1" s="473" t="s">
        <v>131</v>
      </c>
      <c r="AQ1" s="445"/>
      <c r="AR1" s="473" t="s">
        <v>76</v>
      </c>
      <c r="AS1" s="445"/>
      <c r="AT1" s="473" t="s">
        <v>129</v>
      </c>
      <c r="AU1" s="445"/>
      <c r="AV1" s="473" t="s">
        <v>180</v>
      </c>
      <c r="AW1" s="455"/>
      <c r="AX1" s="475" t="s">
        <v>174</v>
      </c>
      <c r="AY1" s="445"/>
      <c r="AZ1" s="471" t="s">
        <v>175</v>
      </c>
      <c r="BA1" s="445"/>
      <c r="BB1" s="471" t="s">
        <v>176</v>
      </c>
      <c r="BC1" s="445"/>
      <c r="BD1" s="471" t="s">
        <v>177</v>
      </c>
      <c r="BE1" s="445"/>
      <c r="BF1" s="471" t="s">
        <v>178</v>
      </c>
      <c r="BG1" s="455"/>
      <c r="BH1" s="365"/>
      <c r="BI1" s="476" t="s">
        <v>164</v>
      </c>
      <c r="BJ1" s="445"/>
      <c r="BK1" s="476" t="s">
        <v>165</v>
      </c>
      <c r="BL1" s="445"/>
      <c r="BM1" s="476" t="s">
        <v>166</v>
      </c>
      <c r="BN1" s="445"/>
      <c r="BO1" s="476" t="s">
        <v>167</v>
      </c>
      <c r="BP1" s="445"/>
      <c r="BQ1" s="476" t="s">
        <v>168</v>
      </c>
      <c r="BR1" s="455"/>
      <c r="BS1" s="365"/>
      <c r="BT1" s="474" t="s">
        <v>169</v>
      </c>
      <c r="BU1" s="445"/>
      <c r="BV1" s="472" t="s">
        <v>170</v>
      </c>
      <c r="BW1" s="445"/>
      <c r="BX1" s="472" t="s">
        <v>171</v>
      </c>
      <c r="BY1" s="445"/>
      <c r="BZ1" s="472" t="s">
        <v>172</v>
      </c>
      <c r="CA1" s="445"/>
      <c r="CB1" s="472" t="s">
        <v>173</v>
      </c>
      <c r="CC1" s="455"/>
      <c r="CD1" s="365"/>
      <c r="CE1" s="473" t="s">
        <v>179</v>
      </c>
      <c r="CF1" s="445"/>
      <c r="CG1" s="473" t="s">
        <v>131</v>
      </c>
      <c r="CH1" s="445"/>
      <c r="CI1" s="473" t="s">
        <v>76</v>
      </c>
      <c r="CJ1" s="445"/>
      <c r="CK1" s="473" t="s">
        <v>129</v>
      </c>
      <c r="CL1" s="445"/>
      <c r="CM1" s="473" t="s">
        <v>180</v>
      </c>
      <c r="CN1" s="455"/>
      <c r="CO1" s="365"/>
      <c r="CP1" s="475" t="s">
        <v>174</v>
      </c>
      <c r="CQ1" s="445"/>
      <c r="CR1" s="471" t="s">
        <v>175</v>
      </c>
      <c r="CS1" s="445"/>
      <c r="CT1" s="471" t="s">
        <v>176</v>
      </c>
      <c r="CU1" s="445"/>
      <c r="CV1" s="471" t="s">
        <v>177</v>
      </c>
      <c r="CW1" s="445"/>
      <c r="CX1" s="471" t="s">
        <v>178</v>
      </c>
      <c r="CY1" s="455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66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7" t="s">
        <v>100</v>
      </c>
      <c r="B2" s="367" t="s">
        <v>66</v>
      </c>
      <c r="C2" s="367" t="s">
        <v>298</v>
      </c>
      <c r="D2" s="368" t="s">
        <v>100</v>
      </c>
      <c r="E2" s="368" t="s">
        <v>70</v>
      </c>
      <c r="F2" s="368" t="s">
        <v>299</v>
      </c>
      <c r="G2" s="369" t="s">
        <v>75</v>
      </c>
      <c r="H2" s="369" t="s">
        <v>127</v>
      </c>
      <c r="I2" s="369" t="s">
        <v>300</v>
      </c>
      <c r="J2" s="369" t="s">
        <v>128</v>
      </c>
      <c r="K2" s="369" t="s">
        <v>301</v>
      </c>
      <c r="L2" s="370" t="s">
        <v>143</v>
      </c>
      <c r="M2" s="371" t="s">
        <v>147</v>
      </c>
      <c r="N2" s="371" t="s">
        <v>302</v>
      </c>
      <c r="O2" s="371" t="s">
        <v>303</v>
      </c>
      <c r="P2" s="371" t="s">
        <v>304</v>
      </c>
      <c r="Q2" s="372" t="s">
        <v>305</v>
      </c>
      <c r="R2" s="373" t="s">
        <v>306</v>
      </c>
      <c r="S2" s="374" t="s">
        <v>100</v>
      </c>
      <c r="T2" s="375" t="s">
        <v>181</v>
      </c>
      <c r="U2" s="376" t="s">
        <v>182</v>
      </c>
      <c r="V2" s="376" t="s">
        <v>181</v>
      </c>
      <c r="W2" s="376" t="s">
        <v>182</v>
      </c>
      <c r="X2" s="376" t="s">
        <v>181</v>
      </c>
      <c r="Y2" s="376" t="s">
        <v>182</v>
      </c>
      <c r="Z2" s="377" t="s">
        <v>183</v>
      </c>
      <c r="AA2" s="377" t="s">
        <v>184</v>
      </c>
      <c r="AB2" s="377" t="s">
        <v>183</v>
      </c>
      <c r="AC2" s="378" t="s">
        <v>184</v>
      </c>
      <c r="AD2" s="379" t="s">
        <v>185</v>
      </c>
      <c r="AE2" s="380" t="s">
        <v>186</v>
      </c>
      <c r="AF2" s="380" t="s">
        <v>185</v>
      </c>
      <c r="AG2" s="380" t="s">
        <v>186</v>
      </c>
      <c r="AH2" s="380" t="s">
        <v>185</v>
      </c>
      <c r="AI2" s="380" t="s">
        <v>186</v>
      </c>
      <c r="AJ2" s="381" t="s">
        <v>187</v>
      </c>
      <c r="AK2" s="381" t="s">
        <v>188</v>
      </c>
      <c r="AL2" s="381" t="s">
        <v>187</v>
      </c>
      <c r="AM2" s="382" t="s">
        <v>188</v>
      </c>
      <c r="AN2" s="383" t="s">
        <v>193</v>
      </c>
      <c r="AO2" s="383" t="s">
        <v>194</v>
      </c>
      <c r="AP2" s="383" t="s">
        <v>193</v>
      </c>
      <c r="AQ2" s="383" t="s">
        <v>194</v>
      </c>
      <c r="AR2" s="383" t="s">
        <v>193</v>
      </c>
      <c r="AS2" s="383" t="s">
        <v>194</v>
      </c>
      <c r="AT2" s="384" t="s">
        <v>195</v>
      </c>
      <c r="AU2" s="384" t="s">
        <v>196</v>
      </c>
      <c r="AV2" s="384" t="s">
        <v>195</v>
      </c>
      <c r="AW2" s="385" t="s">
        <v>196</v>
      </c>
      <c r="AX2" s="386" t="s">
        <v>189</v>
      </c>
      <c r="AY2" s="387" t="s">
        <v>190</v>
      </c>
      <c r="AZ2" s="387" t="s">
        <v>189</v>
      </c>
      <c r="BA2" s="387" t="s">
        <v>190</v>
      </c>
      <c r="BB2" s="387" t="s">
        <v>189</v>
      </c>
      <c r="BC2" s="387" t="s">
        <v>190</v>
      </c>
      <c r="BD2" s="388" t="s">
        <v>191</v>
      </c>
      <c r="BE2" s="388" t="s">
        <v>192</v>
      </c>
      <c r="BF2" s="388" t="s">
        <v>191</v>
      </c>
      <c r="BG2" s="389" t="s">
        <v>192</v>
      </c>
      <c r="BH2" s="390" t="s">
        <v>100</v>
      </c>
      <c r="BI2" s="375" t="s">
        <v>181</v>
      </c>
      <c r="BJ2" s="376" t="s">
        <v>182</v>
      </c>
      <c r="BK2" s="376" t="s">
        <v>181</v>
      </c>
      <c r="BL2" s="376" t="s">
        <v>182</v>
      </c>
      <c r="BM2" s="376" t="s">
        <v>181</v>
      </c>
      <c r="BN2" s="376" t="s">
        <v>182</v>
      </c>
      <c r="BO2" s="377" t="s">
        <v>183</v>
      </c>
      <c r="BP2" s="377" t="s">
        <v>184</v>
      </c>
      <c r="BQ2" s="377" t="s">
        <v>183</v>
      </c>
      <c r="BR2" s="378" t="s">
        <v>184</v>
      </c>
      <c r="BS2" s="390" t="s">
        <v>100</v>
      </c>
      <c r="BT2" s="379" t="s">
        <v>185</v>
      </c>
      <c r="BU2" s="380" t="s">
        <v>186</v>
      </c>
      <c r="BV2" s="380" t="s">
        <v>185</v>
      </c>
      <c r="BW2" s="380" t="s">
        <v>186</v>
      </c>
      <c r="BX2" s="380" t="s">
        <v>185</v>
      </c>
      <c r="BY2" s="380" t="s">
        <v>186</v>
      </c>
      <c r="BZ2" s="381" t="s">
        <v>187</v>
      </c>
      <c r="CA2" s="381" t="s">
        <v>188</v>
      </c>
      <c r="CB2" s="381" t="s">
        <v>187</v>
      </c>
      <c r="CC2" s="382" t="s">
        <v>188</v>
      </c>
      <c r="CD2" s="390" t="s">
        <v>100</v>
      </c>
      <c r="CE2" s="383" t="s">
        <v>193</v>
      </c>
      <c r="CF2" s="383" t="s">
        <v>194</v>
      </c>
      <c r="CG2" s="383" t="s">
        <v>193</v>
      </c>
      <c r="CH2" s="383" t="s">
        <v>194</v>
      </c>
      <c r="CI2" s="383" t="s">
        <v>193</v>
      </c>
      <c r="CJ2" s="383" t="s">
        <v>194</v>
      </c>
      <c r="CK2" s="384" t="s">
        <v>195</v>
      </c>
      <c r="CL2" s="384" t="s">
        <v>196</v>
      </c>
      <c r="CM2" s="384" t="s">
        <v>195</v>
      </c>
      <c r="CN2" s="385" t="s">
        <v>196</v>
      </c>
      <c r="CO2" s="390" t="s">
        <v>100</v>
      </c>
      <c r="CP2" s="386" t="s">
        <v>189</v>
      </c>
      <c r="CQ2" s="387" t="s">
        <v>190</v>
      </c>
      <c r="CR2" s="387" t="s">
        <v>189</v>
      </c>
      <c r="CS2" s="387" t="s">
        <v>190</v>
      </c>
      <c r="CT2" s="387" t="s">
        <v>189</v>
      </c>
      <c r="CU2" s="387" t="s">
        <v>190</v>
      </c>
      <c r="CV2" s="388" t="s">
        <v>191</v>
      </c>
      <c r="CW2" s="388" t="s">
        <v>192</v>
      </c>
      <c r="CX2" s="388" t="s">
        <v>191</v>
      </c>
      <c r="CY2" s="389" t="s">
        <v>192</v>
      </c>
      <c r="CZ2" s="391" t="s">
        <v>307</v>
      </c>
      <c r="DA2" s="391" t="s">
        <v>308</v>
      </c>
      <c r="DB2" s="391" t="s">
        <v>309</v>
      </c>
      <c r="DC2" s="391" t="s">
        <v>310</v>
      </c>
      <c r="DD2" s="391" t="s">
        <v>311</v>
      </c>
      <c r="DE2" s="392" t="s">
        <v>92</v>
      </c>
      <c r="DF2" s="392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93" t="s">
        <v>100</v>
      </c>
      <c r="ED2" s="393" t="s">
        <v>313</v>
      </c>
      <c r="EE2" s="393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94">
        <v>0</v>
      </c>
      <c r="B3" s="194">
        <v>0</v>
      </c>
      <c r="C3" s="194">
        <v>0</v>
      </c>
      <c r="D3" s="394">
        <v>0</v>
      </c>
      <c r="E3" s="194">
        <v>0</v>
      </c>
      <c r="F3" s="194">
        <v>0</v>
      </c>
      <c r="G3" s="395" t="s">
        <v>315</v>
      </c>
      <c r="H3" s="112">
        <v>0</v>
      </c>
      <c r="I3" s="112">
        <v>0</v>
      </c>
      <c r="J3" s="112">
        <v>0</v>
      </c>
      <c r="K3" s="112">
        <v>0</v>
      </c>
      <c r="L3" s="396" t="s">
        <v>316</v>
      </c>
      <c r="M3" s="61">
        <v>0</v>
      </c>
      <c r="N3" s="61">
        <v>0</v>
      </c>
      <c r="O3" s="61">
        <v>0</v>
      </c>
      <c r="P3" s="61">
        <v>0</v>
      </c>
      <c r="Q3" s="397" t="s">
        <v>133</v>
      </c>
      <c r="R3" s="398">
        <v>1</v>
      </c>
      <c r="S3" s="399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400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400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400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400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94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401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94">
        <v>1</v>
      </c>
      <c r="B4" s="194">
        <v>5</v>
      </c>
      <c r="C4" s="194">
        <f t="shared" ref="C4:C258" si="4">C3+B4</f>
        <v>5</v>
      </c>
      <c r="D4" s="394">
        <v>1</v>
      </c>
      <c r="E4" s="194">
        <v>5</v>
      </c>
      <c r="F4" s="194">
        <f t="shared" ref="F4:F53" si="5">F3+E4</f>
        <v>5</v>
      </c>
      <c r="G4" s="402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403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7" t="s">
        <v>131</v>
      </c>
      <c r="R4" s="398">
        <v>2</v>
      </c>
      <c r="S4" s="399">
        <v>1</v>
      </c>
      <c r="T4" s="404">
        <v>1</v>
      </c>
      <c r="U4" s="405">
        <v>0</v>
      </c>
      <c r="V4" s="194">
        <v>4</v>
      </c>
      <c r="W4" s="194">
        <v>0</v>
      </c>
      <c r="X4" s="194">
        <v>20</v>
      </c>
      <c r="Y4" s="194">
        <v>0</v>
      </c>
      <c r="Z4" s="405">
        <v>1</v>
      </c>
      <c r="AA4" s="405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405">
        <v>5</v>
      </c>
      <c r="AQ4" s="405">
        <v>0</v>
      </c>
      <c r="AR4" s="405">
        <v>25</v>
      </c>
      <c r="AS4" s="405">
        <v>0</v>
      </c>
      <c r="AT4" s="405">
        <v>1</v>
      </c>
      <c r="AU4" s="405">
        <v>0</v>
      </c>
      <c r="AV4" s="405">
        <v>5</v>
      </c>
      <c r="AW4" s="406">
        <v>0</v>
      </c>
      <c r="AX4" s="213">
        <v>1</v>
      </c>
      <c r="AY4" s="194">
        <v>0</v>
      </c>
      <c r="AZ4" s="405">
        <v>5</v>
      </c>
      <c r="BA4" s="405">
        <v>0</v>
      </c>
      <c r="BB4" s="405">
        <v>25</v>
      </c>
      <c r="BC4" s="405">
        <v>0</v>
      </c>
      <c r="BD4" s="405">
        <v>1</v>
      </c>
      <c r="BE4" s="405">
        <v>0</v>
      </c>
      <c r="BF4" s="405">
        <f t="shared" ref="BF4:BG4" si="8">BD4*5</f>
        <v>5</v>
      </c>
      <c r="BG4" s="406">
        <f t="shared" si="8"/>
        <v>0</v>
      </c>
      <c r="BH4" s="400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400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400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400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94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401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94">
        <v>2</v>
      </c>
      <c r="B5" s="194">
        <v>10</v>
      </c>
      <c r="C5" s="194">
        <f t="shared" si="4"/>
        <v>15</v>
      </c>
      <c r="D5" s="394">
        <v>2</v>
      </c>
      <c r="E5" s="194">
        <v>22</v>
      </c>
      <c r="F5" s="194">
        <f t="shared" si="5"/>
        <v>27</v>
      </c>
      <c r="G5" s="402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7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7" t="s">
        <v>76</v>
      </c>
      <c r="R5" s="398">
        <v>3</v>
      </c>
      <c r="S5" s="399">
        <v>2</v>
      </c>
      <c r="T5" s="404">
        <v>2</v>
      </c>
      <c r="U5" s="405">
        <v>0</v>
      </c>
      <c r="V5" s="194">
        <v>8</v>
      </c>
      <c r="W5" s="194">
        <v>0</v>
      </c>
      <c r="X5" s="405">
        <v>40</v>
      </c>
      <c r="Y5" s="405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405">
        <v>50</v>
      </c>
      <c r="AI5" s="405">
        <v>0</v>
      </c>
      <c r="AJ5" s="61">
        <v>2</v>
      </c>
      <c r="AK5" s="61">
        <v>0</v>
      </c>
      <c r="AL5" s="408">
        <f t="shared" ref="AL5:AM5" si="22">AJ5*5</f>
        <v>10</v>
      </c>
      <c r="AM5" s="408">
        <f t="shared" si="22"/>
        <v>0</v>
      </c>
      <c r="AN5" s="194">
        <v>2</v>
      </c>
      <c r="AO5" s="194">
        <v>0</v>
      </c>
      <c r="AP5" s="405">
        <v>10</v>
      </c>
      <c r="AQ5" s="405">
        <v>0</v>
      </c>
      <c r="AR5" s="405">
        <v>50</v>
      </c>
      <c r="AS5" s="405">
        <v>0</v>
      </c>
      <c r="AT5" s="405">
        <v>2</v>
      </c>
      <c r="AU5" s="405">
        <v>0</v>
      </c>
      <c r="AV5" s="405">
        <v>10</v>
      </c>
      <c r="AW5" s="406">
        <v>0</v>
      </c>
      <c r="AX5" s="213">
        <v>2</v>
      </c>
      <c r="AY5" s="194">
        <v>0</v>
      </c>
      <c r="AZ5" s="405">
        <v>10</v>
      </c>
      <c r="BA5" s="405">
        <v>0</v>
      </c>
      <c r="BB5" s="405">
        <v>50</v>
      </c>
      <c r="BC5" s="405">
        <v>0</v>
      </c>
      <c r="BD5" s="405">
        <v>2</v>
      </c>
      <c r="BE5" s="405">
        <v>0</v>
      </c>
      <c r="BF5" s="405">
        <f t="shared" ref="BF5:BG5" si="23">BD5*5</f>
        <v>10</v>
      </c>
      <c r="BG5" s="406">
        <f t="shared" si="23"/>
        <v>0</v>
      </c>
      <c r="BH5" s="400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400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400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400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94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401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94">
        <v>3</v>
      </c>
      <c r="B6" s="194">
        <v>15</v>
      </c>
      <c r="C6" s="194">
        <f t="shared" si="4"/>
        <v>30</v>
      </c>
      <c r="D6" s="394">
        <v>3</v>
      </c>
      <c r="E6" s="194">
        <v>45</v>
      </c>
      <c r="F6" s="194">
        <f t="shared" si="5"/>
        <v>72</v>
      </c>
      <c r="G6" s="409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7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7" t="s">
        <v>129</v>
      </c>
      <c r="R6" s="398">
        <v>4</v>
      </c>
      <c r="S6" s="399">
        <v>3</v>
      </c>
      <c r="T6" s="404">
        <v>2</v>
      </c>
      <c r="U6" s="405">
        <v>0</v>
      </c>
      <c r="V6" s="194">
        <v>8</v>
      </c>
      <c r="W6" s="194">
        <v>0</v>
      </c>
      <c r="X6" s="405">
        <v>40</v>
      </c>
      <c r="Y6" s="405">
        <v>0</v>
      </c>
      <c r="Z6" s="405">
        <v>2</v>
      </c>
      <c r="AA6" s="405">
        <v>0</v>
      </c>
      <c r="AB6" s="410">
        <v>10</v>
      </c>
      <c r="AC6" s="410">
        <v>0</v>
      </c>
      <c r="AD6" s="213">
        <v>2</v>
      </c>
      <c r="AE6" s="194">
        <v>0</v>
      </c>
      <c r="AF6" s="405">
        <v>10</v>
      </c>
      <c r="AG6" s="405">
        <v>0</v>
      </c>
      <c r="AH6" s="194">
        <v>50</v>
      </c>
      <c r="AI6" s="194">
        <v>0</v>
      </c>
      <c r="AJ6" s="61">
        <v>2</v>
      </c>
      <c r="AK6" s="61">
        <v>0</v>
      </c>
      <c r="AL6" s="408">
        <f t="shared" ref="AL6:AM6" si="31">AJ6*5</f>
        <v>10</v>
      </c>
      <c r="AM6" s="408">
        <f t="shared" si="31"/>
        <v>0</v>
      </c>
      <c r="AN6" s="194">
        <v>2</v>
      </c>
      <c r="AO6" s="194">
        <v>0</v>
      </c>
      <c r="AP6" s="405">
        <v>10</v>
      </c>
      <c r="AQ6" s="405">
        <v>0</v>
      </c>
      <c r="AR6" s="405">
        <v>50</v>
      </c>
      <c r="AS6" s="405">
        <v>0</v>
      </c>
      <c r="AT6" s="405">
        <v>2</v>
      </c>
      <c r="AU6" s="405">
        <v>0</v>
      </c>
      <c r="AV6" s="405">
        <v>10</v>
      </c>
      <c r="AW6" s="406">
        <v>0</v>
      </c>
      <c r="AX6" s="213">
        <v>2</v>
      </c>
      <c r="AY6" s="194">
        <v>0</v>
      </c>
      <c r="AZ6" s="405">
        <v>10</v>
      </c>
      <c r="BA6" s="405">
        <v>0</v>
      </c>
      <c r="BB6" s="194">
        <v>50</v>
      </c>
      <c r="BC6" s="194">
        <v>0</v>
      </c>
      <c r="BD6" s="405">
        <v>2</v>
      </c>
      <c r="BE6" s="405">
        <v>0</v>
      </c>
      <c r="BF6" s="405">
        <f t="shared" ref="BF6:BG6" si="32">BD6*5</f>
        <v>10</v>
      </c>
      <c r="BG6" s="406">
        <f t="shared" si="32"/>
        <v>0</v>
      </c>
      <c r="BH6" s="400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400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400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400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94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401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94">
        <v>4</v>
      </c>
      <c r="B7" s="194">
        <v>20</v>
      </c>
      <c r="C7" s="194">
        <f t="shared" si="4"/>
        <v>50</v>
      </c>
      <c r="D7" s="394">
        <v>4</v>
      </c>
      <c r="E7" s="194">
        <v>75</v>
      </c>
      <c r="F7" s="194">
        <f t="shared" si="5"/>
        <v>147</v>
      </c>
      <c r="G7" s="409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11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7" t="s">
        <v>180</v>
      </c>
      <c r="R7" s="398">
        <v>5</v>
      </c>
      <c r="S7" s="399">
        <v>4</v>
      </c>
      <c r="T7" s="404">
        <v>2</v>
      </c>
      <c r="U7" s="405">
        <v>0</v>
      </c>
      <c r="V7" s="194">
        <v>8</v>
      </c>
      <c r="W7" s="194">
        <v>0</v>
      </c>
      <c r="X7" s="405">
        <v>40</v>
      </c>
      <c r="Y7" s="405">
        <v>0</v>
      </c>
      <c r="Z7" s="194">
        <v>2</v>
      </c>
      <c r="AA7" s="194">
        <v>0</v>
      </c>
      <c r="AB7" s="410">
        <v>10</v>
      </c>
      <c r="AC7" s="410">
        <v>0</v>
      </c>
      <c r="AD7" s="213">
        <v>2</v>
      </c>
      <c r="AE7" s="194">
        <v>0</v>
      </c>
      <c r="AF7" s="405">
        <v>12</v>
      </c>
      <c r="AG7" s="405">
        <v>0</v>
      </c>
      <c r="AH7" s="194">
        <v>60</v>
      </c>
      <c r="AI7" s="194">
        <v>0</v>
      </c>
      <c r="AJ7" s="61">
        <v>2</v>
      </c>
      <c r="AK7" s="61">
        <v>0</v>
      </c>
      <c r="AL7" s="408">
        <f t="shared" ref="AL7:AM7" si="40">AJ7*5</f>
        <v>10</v>
      </c>
      <c r="AM7" s="408">
        <f t="shared" si="40"/>
        <v>0</v>
      </c>
      <c r="AN7" s="194">
        <v>2</v>
      </c>
      <c r="AO7" s="194">
        <v>0</v>
      </c>
      <c r="AP7" s="405">
        <v>10</v>
      </c>
      <c r="AQ7" s="405">
        <v>0</v>
      </c>
      <c r="AR7" s="405">
        <v>50</v>
      </c>
      <c r="AS7" s="405">
        <v>0</v>
      </c>
      <c r="AT7" s="405">
        <v>2</v>
      </c>
      <c r="AU7" s="405">
        <v>0</v>
      </c>
      <c r="AV7" s="405">
        <v>10</v>
      </c>
      <c r="AW7" s="406">
        <v>0</v>
      </c>
      <c r="AX7" s="213">
        <v>2</v>
      </c>
      <c r="AY7" s="194">
        <v>0</v>
      </c>
      <c r="AZ7" s="405">
        <v>10</v>
      </c>
      <c r="BA7" s="405">
        <v>0</v>
      </c>
      <c r="BB7" s="405">
        <v>50</v>
      </c>
      <c r="BC7" s="405">
        <v>0</v>
      </c>
      <c r="BD7" s="405">
        <v>2</v>
      </c>
      <c r="BE7" s="405">
        <v>0</v>
      </c>
      <c r="BF7" s="405">
        <f t="shared" ref="BF7:BG7" si="41">BD7*5</f>
        <v>10</v>
      </c>
      <c r="BG7" s="406">
        <f t="shared" si="41"/>
        <v>0</v>
      </c>
      <c r="BH7" s="400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400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400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400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94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401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94">
        <v>5</v>
      </c>
      <c r="B8" s="194">
        <v>25</v>
      </c>
      <c r="C8" s="194">
        <f t="shared" si="4"/>
        <v>75</v>
      </c>
      <c r="D8" s="394">
        <v>5</v>
      </c>
      <c r="E8" s="194">
        <v>112</v>
      </c>
      <c r="F8" s="194">
        <f t="shared" si="5"/>
        <v>259</v>
      </c>
      <c r="G8" s="409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11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12"/>
      <c r="S8" s="399">
        <v>5</v>
      </c>
      <c r="T8" s="404">
        <v>2</v>
      </c>
      <c r="U8" s="405">
        <v>0</v>
      </c>
      <c r="V8" s="194">
        <v>8</v>
      </c>
      <c r="W8" s="194">
        <v>0</v>
      </c>
      <c r="X8" s="405">
        <v>40</v>
      </c>
      <c r="Y8" s="405">
        <v>0</v>
      </c>
      <c r="Z8" s="405">
        <v>2</v>
      </c>
      <c r="AA8" s="405">
        <v>0</v>
      </c>
      <c r="AB8" s="410">
        <v>10</v>
      </c>
      <c r="AC8" s="410">
        <v>0</v>
      </c>
      <c r="AD8" s="213">
        <v>3</v>
      </c>
      <c r="AE8" s="194">
        <v>0</v>
      </c>
      <c r="AF8" s="405">
        <v>12</v>
      </c>
      <c r="AG8" s="405">
        <v>0</v>
      </c>
      <c r="AH8" s="194">
        <v>60</v>
      </c>
      <c r="AI8" s="194">
        <v>0</v>
      </c>
      <c r="AJ8" s="61">
        <v>3</v>
      </c>
      <c r="AK8" s="61">
        <v>0</v>
      </c>
      <c r="AL8" s="408">
        <f t="shared" ref="AL8:AM8" si="49">AJ8*5</f>
        <v>15</v>
      </c>
      <c r="AM8" s="408">
        <f t="shared" si="49"/>
        <v>0</v>
      </c>
      <c r="AN8" s="194">
        <v>3</v>
      </c>
      <c r="AO8" s="194">
        <v>0</v>
      </c>
      <c r="AP8" s="405">
        <v>15</v>
      </c>
      <c r="AQ8" s="405">
        <v>0</v>
      </c>
      <c r="AR8" s="405">
        <v>75</v>
      </c>
      <c r="AS8" s="405">
        <v>0</v>
      </c>
      <c r="AT8" s="405">
        <v>3</v>
      </c>
      <c r="AU8" s="405">
        <v>0</v>
      </c>
      <c r="AV8" s="405">
        <v>15</v>
      </c>
      <c r="AW8" s="406">
        <v>0</v>
      </c>
      <c r="AX8" s="213">
        <v>3</v>
      </c>
      <c r="AY8" s="194">
        <v>0</v>
      </c>
      <c r="AZ8" s="405">
        <v>15</v>
      </c>
      <c r="BA8" s="405">
        <v>0</v>
      </c>
      <c r="BB8" s="405">
        <v>75</v>
      </c>
      <c r="BC8" s="405">
        <v>0</v>
      </c>
      <c r="BD8" s="405">
        <v>3</v>
      </c>
      <c r="BE8" s="405">
        <v>0</v>
      </c>
      <c r="BF8" s="405">
        <f t="shared" ref="BF8:BG8" si="50">BD8*5</f>
        <v>15</v>
      </c>
      <c r="BG8" s="406">
        <f t="shared" si="50"/>
        <v>0</v>
      </c>
      <c r="BH8" s="400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400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400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400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94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401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94">
        <v>6</v>
      </c>
      <c r="B9" s="194">
        <v>30</v>
      </c>
      <c r="C9" s="194">
        <f t="shared" si="4"/>
        <v>105</v>
      </c>
      <c r="D9" s="394">
        <v>6</v>
      </c>
      <c r="E9" s="194">
        <v>156</v>
      </c>
      <c r="F9" s="194">
        <f t="shared" si="5"/>
        <v>415</v>
      </c>
      <c r="G9" s="413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11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12"/>
      <c r="S9" s="399">
        <v>6</v>
      </c>
      <c r="T9" s="404">
        <v>3</v>
      </c>
      <c r="U9" s="405">
        <v>0</v>
      </c>
      <c r="V9" s="194">
        <v>12</v>
      </c>
      <c r="W9" s="194">
        <v>0</v>
      </c>
      <c r="X9" s="405">
        <v>60</v>
      </c>
      <c r="Y9" s="405">
        <v>0</v>
      </c>
      <c r="Z9" s="405">
        <v>2</v>
      </c>
      <c r="AA9" s="405">
        <v>0</v>
      </c>
      <c r="AB9" s="410">
        <v>10</v>
      </c>
      <c r="AC9" s="410">
        <v>0</v>
      </c>
      <c r="AD9" s="213">
        <v>4</v>
      </c>
      <c r="AE9" s="194">
        <v>0</v>
      </c>
      <c r="AF9" s="405">
        <v>16</v>
      </c>
      <c r="AG9" s="405">
        <v>0</v>
      </c>
      <c r="AH9" s="194">
        <v>80</v>
      </c>
      <c r="AI9" s="194">
        <v>0</v>
      </c>
      <c r="AJ9" s="61">
        <v>3</v>
      </c>
      <c r="AK9" s="61">
        <v>0</v>
      </c>
      <c r="AL9" s="408">
        <f t="shared" ref="AL9:AM9" si="58">AJ9*5</f>
        <v>15</v>
      </c>
      <c r="AM9" s="408">
        <f t="shared" si="58"/>
        <v>0</v>
      </c>
      <c r="AN9" s="194">
        <v>4</v>
      </c>
      <c r="AO9" s="194">
        <v>0</v>
      </c>
      <c r="AP9" s="405">
        <v>20</v>
      </c>
      <c r="AQ9" s="405">
        <v>0</v>
      </c>
      <c r="AR9" s="405">
        <v>100</v>
      </c>
      <c r="AS9" s="405">
        <v>0</v>
      </c>
      <c r="AT9" s="405">
        <v>4</v>
      </c>
      <c r="AU9" s="405">
        <v>0</v>
      </c>
      <c r="AV9" s="405">
        <v>20</v>
      </c>
      <c r="AW9" s="406">
        <v>0</v>
      </c>
      <c r="AX9" s="213">
        <v>4</v>
      </c>
      <c r="AY9" s="194">
        <v>0</v>
      </c>
      <c r="AZ9" s="405">
        <v>20</v>
      </c>
      <c r="BA9" s="405">
        <v>0</v>
      </c>
      <c r="BB9" s="405">
        <v>100</v>
      </c>
      <c r="BC9" s="405">
        <v>0</v>
      </c>
      <c r="BD9" s="405">
        <v>4</v>
      </c>
      <c r="BE9" s="405">
        <v>0</v>
      </c>
      <c r="BF9" s="405">
        <f t="shared" ref="BF9:BG9" si="59">BD9*5</f>
        <v>20</v>
      </c>
      <c r="BG9" s="406">
        <f t="shared" si="59"/>
        <v>0</v>
      </c>
      <c r="BH9" s="400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400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400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400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94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401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94">
        <v>7</v>
      </c>
      <c r="B10" s="194">
        <v>35</v>
      </c>
      <c r="C10" s="194">
        <f t="shared" si="4"/>
        <v>140</v>
      </c>
      <c r="D10" s="394">
        <v>7</v>
      </c>
      <c r="E10" s="194">
        <v>208</v>
      </c>
      <c r="F10" s="194">
        <f t="shared" si="5"/>
        <v>623</v>
      </c>
      <c r="G10" s="413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11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12"/>
      <c r="S10" s="399">
        <v>7</v>
      </c>
      <c r="T10" s="404">
        <v>4</v>
      </c>
      <c r="U10" s="405">
        <v>0</v>
      </c>
      <c r="V10" s="194">
        <v>16</v>
      </c>
      <c r="W10" s="194">
        <v>0</v>
      </c>
      <c r="X10" s="405">
        <v>80</v>
      </c>
      <c r="Y10" s="405">
        <v>0</v>
      </c>
      <c r="Z10" s="405">
        <v>3</v>
      </c>
      <c r="AA10" s="405">
        <v>0</v>
      </c>
      <c r="AB10" s="410">
        <v>15</v>
      </c>
      <c r="AC10" s="410">
        <v>0</v>
      </c>
      <c r="AD10" s="213">
        <v>5</v>
      </c>
      <c r="AE10" s="194">
        <v>0</v>
      </c>
      <c r="AF10" s="405">
        <v>16</v>
      </c>
      <c r="AG10" s="405">
        <v>0</v>
      </c>
      <c r="AH10" s="194">
        <v>80</v>
      </c>
      <c r="AI10" s="194">
        <v>0</v>
      </c>
      <c r="AJ10" s="61">
        <v>3</v>
      </c>
      <c r="AK10" s="61">
        <v>0</v>
      </c>
      <c r="AL10" s="408">
        <f t="shared" ref="AL10:AM10" si="67">AJ10*5</f>
        <v>15</v>
      </c>
      <c r="AM10" s="408">
        <f t="shared" si="67"/>
        <v>0</v>
      </c>
      <c r="AN10" s="194">
        <v>5</v>
      </c>
      <c r="AO10" s="194">
        <v>0</v>
      </c>
      <c r="AP10" s="405">
        <v>25</v>
      </c>
      <c r="AQ10" s="405">
        <v>0</v>
      </c>
      <c r="AR10" s="405">
        <v>125</v>
      </c>
      <c r="AS10" s="405">
        <v>0</v>
      </c>
      <c r="AT10" s="405">
        <v>5</v>
      </c>
      <c r="AU10" s="405">
        <v>0</v>
      </c>
      <c r="AV10" s="405">
        <v>25</v>
      </c>
      <c r="AW10" s="406">
        <v>0</v>
      </c>
      <c r="AX10" s="213">
        <v>5</v>
      </c>
      <c r="AY10" s="194">
        <v>0</v>
      </c>
      <c r="AZ10" s="405">
        <v>25</v>
      </c>
      <c r="BA10" s="405">
        <v>0</v>
      </c>
      <c r="BB10" s="405">
        <v>125</v>
      </c>
      <c r="BC10" s="405">
        <v>0</v>
      </c>
      <c r="BD10" s="405">
        <v>5</v>
      </c>
      <c r="BE10" s="405">
        <v>0</v>
      </c>
      <c r="BF10" s="405">
        <f t="shared" ref="BF10:BG10" si="68">BD10*5</f>
        <v>25</v>
      </c>
      <c r="BG10" s="406">
        <f t="shared" si="68"/>
        <v>0</v>
      </c>
      <c r="BH10" s="400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400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400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400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94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401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94">
        <v>8</v>
      </c>
      <c r="B11" s="194">
        <v>40</v>
      </c>
      <c r="C11" s="194">
        <f t="shared" si="4"/>
        <v>180</v>
      </c>
      <c r="D11" s="394">
        <v>8</v>
      </c>
      <c r="E11" s="194">
        <v>267</v>
      </c>
      <c r="F11" s="194">
        <f t="shared" si="5"/>
        <v>890</v>
      </c>
      <c r="G11" s="413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14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12"/>
      <c r="S11" s="399">
        <v>8</v>
      </c>
      <c r="T11" s="404">
        <v>4</v>
      </c>
      <c r="U11" s="405">
        <v>0</v>
      </c>
      <c r="V11" s="194">
        <v>16</v>
      </c>
      <c r="W11" s="194">
        <v>0</v>
      </c>
      <c r="X11" s="405">
        <v>80</v>
      </c>
      <c r="Y11" s="405">
        <v>0</v>
      </c>
      <c r="Z11" s="405">
        <v>3</v>
      </c>
      <c r="AA11" s="405">
        <v>0</v>
      </c>
      <c r="AB11" s="410">
        <v>15</v>
      </c>
      <c r="AC11" s="410">
        <v>0</v>
      </c>
      <c r="AD11" s="213">
        <v>5</v>
      </c>
      <c r="AE11" s="194">
        <v>0</v>
      </c>
      <c r="AF11" s="405">
        <v>20</v>
      </c>
      <c r="AG11" s="405">
        <v>0</v>
      </c>
      <c r="AH11" s="194">
        <v>100</v>
      </c>
      <c r="AI11" s="194">
        <v>0</v>
      </c>
      <c r="AJ11" s="61">
        <v>4</v>
      </c>
      <c r="AK11" s="61">
        <v>0</v>
      </c>
      <c r="AL11" s="408">
        <f t="shared" ref="AL11:AM11" si="76">AJ11*5</f>
        <v>20</v>
      </c>
      <c r="AM11" s="408">
        <f t="shared" si="76"/>
        <v>0</v>
      </c>
      <c r="AN11" s="194">
        <v>5</v>
      </c>
      <c r="AO11" s="194">
        <v>0</v>
      </c>
      <c r="AP11" s="405">
        <v>25</v>
      </c>
      <c r="AQ11" s="405">
        <v>0</v>
      </c>
      <c r="AR11" s="405">
        <v>125</v>
      </c>
      <c r="AS11" s="405">
        <v>0</v>
      </c>
      <c r="AT11" s="405">
        <v>5</v>
      </c>
      <c r="AU11" s="405">
        <v>0</v>
      </c>
      <c r="AV11" s="405">
        <v>25</v>
      </c>
      <c r="AW11" s="406">
        <v>0</v>
      </c>
      <c r="AX11" s="213">
        <v>5</v>
      </c>
      <c r="AY11" s="194">
        <v>0</v>
      </c>
      <c r="AZ11" s="405">
        <v>25</v>
      </c>
      <c r="BA11" s="405">
        <v>0</v>
      </c>
      <c r="BB11" s="405">
        <v>125</v>
      </c>
      <c r="BC11" s="405">
        <v>0</v>
      </c>
      <c r="BD11" s="405">
        <v>5</v>
      </c>
      <c r="BE11" s="405">
        <v>0</v>
      </c>
      <c r="BF11" s="405">
        <f t="shared" ref="BF11:BG11" si="77">BD11*5</f>
        <v>25</v>
      </c>
      <c r="BG11" s="406">
        <f t="shared" si="77"/>
        <v>0</v>
      </c>
      <c r="BH11" s="400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400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400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400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94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401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94">
        <v>9</v>
      </c>
      <c r="B12" s="194">
        <v>45</v>
      </c>
      <c r="C12" s="194">
        <f t="shared" si="4"/>
        <v>225</v>
      </c>
      <c r="D12" s="394">
        <v>9</v>
      </c>
      <c r="E12" s="194">
        <v>334</v>
      </c>
      <c r="F12" s="194">
        <f t="shared" si="5"/>
        <v>1224</v>
      </c>
      <c r="G12" s="413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14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12"/>
      <c r="S12" s="399">
        <v>9</v>
      </c>
      <c r="T12" s="404">
        <v>4</v>
      </c>
      <c r="U12" s="405">
        <v>0</v>
      </c>
      <c r="V12" s="194">
        <v>16</v>
      </c>
      <c r="W12" s="194">
        <v>0</v>
      </c>
      <c r="X12" s="405">
        <v>80</v>
      </c>
      <c r="Y12" s="405">
        <v>0</v>
      </c>
      <c r="Z12" s="405">
        <v>3</v>
      </c>
      <c r="AA12" s="405">
        <v>0</v>
      </c>
      <c r="AB12" s="410">
        <v>15</v>
      </c>
      <c r="AC12" s="410">
        <v>0</v>
      </c>
      <c r="AD12" s="213">
        <v>5</v>
      </c>
      <c r="AE12" s="194">
        <v>0</v>
      </c>
      <c r="AF12" s="405">
        <v>20</v>
      </c>
      <c r="AG12" s="405">
        <v>0</v>
      </c>
      <c r="AH12" s="194">
        <v>100</v>
      </c>
      <c r="AI12" s="194">
        <v>0</v>
      </c>
      <c r="AJ12" s="61">
        <v>4</v>
      </c>
      <c r="AK12" s="61">
        <v>0</v>
      </c>
      <c r="AL12" s="408">
        <f t="shared" ref="AL12:AM12" si="85">AJ12*5</f>
        <v>20</v>
      </c>
      <c r="AM12" s="408">
        <f t="shared" si="85"/>
        <v>0</v>
      </c>
      <c r="AN12" s="194">
        <v>5</v>
      </c>
      <c r="AO12" s="194">
        <v>0</v>
      </c>
      <c r="AP12" s="405">
        <v>25</v>
      </c>
      <c r="AQ12" s="405">
        <v>0</v>
      </c>
      <c r="AR12" s="405">
        <v>125</v>
      </c>
      <c r="AS12" s="405">
        <v>0</v>
      </c>
      <c r="AT12" s="405">
        <v>5</v>
      </c>
      <c r="AU12" s="405">
        <v>0</v>
      </c>
      <c r="AV12" s="405">
        <v>25</v>
      </c>
      <c r="AW12" s="406">
        <v>0</v>
      </c>
      <c r="AX12" s="213">
        <v>5</v>
      </c>
      <c r="AY12" s="194">
        <v>0</v>
      </c>
      <c r="AZ12" s="405">
        <v>25</v>
      </c>
      <c r="BA12" s="405">
        <v>0</v>
      </c>
      <c r="BB12" s="405">
        <v>125</v>
      </c>
      <c r="BC12" s="405">
        <v>0</v>
      </c>
      <c r="BD12" s="405">
        <v>5</v>
      </c>
      <c r="BE12" s="405">
        <v>0</v>
      </c>
      <c r="BF12" s="405">
        <f t="shared" ref="BF12:BG12" si="86">BD12*5</f>
        <v>25</v>
      </c>
      <c r="BG12" s="406">
        <f t="shared" si="86"/>
        <v>0</v>
      </c>
      <c r="BH12" s="400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400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400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400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94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401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94">
        <v>10</v>
      </c>
      <c r="B13" s="194">
        <v>50</v>
      </c>
      <c r="C13" s="194">
        <f t="shared" si="4"/>
        <v>275</v>
      </c>
      <c r="D13" s="394">
        <v>10</v>
      </c>
      <c r="E13" s="194">
        <v>410</v>
      </c>
      <c r="F13" s="194">
        <f t="shared" si="5"/>
        <v>1634</v>
      </c>
      <c r="G13" s="415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14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12"/>
      <c r="S13" s="399">
        <v>10</v>
      </c>
      <c r="T13" s="404">
        <v>4</v>
      </c>
      <c r="U13" s="405">
        <v>0</v>
      </c>
      <c r="V13" s="194">
        <v>16</v>
      </c>
      <c r="W13" s="194">
        <v>0</v>
      </c>
      <c r="X13" s="405">
        <v>80</v>
      </c>
      <c r="Y13" s="405">
        <v>0</v>
      </c>
      <c r="Z13" s="405">
        <v>3</v>
      </c>
      <c r="AA13" s="405">
        <v>0</v>
      </c>
      <c r="AB13" s="410">
        <v>15</v>
      </c>
      <c r="AC13" s="410">
        <v>0</v>
      </c>
      <c r="AD13" s="213">
        <v>5</v>
      </c>
      <c r="AE13" s="194">
        <v>0</v>
      </c>
      <c r="AF13" s="405">
        <v>24</v>
      </c>
      <c r="AG13" s="405">
        <v>0</v>
      </c>
      <c r="AH13" s="194">
        <v>120</v>
      </c>
      <c r="AI13" s="194">
        <v>0</v>
      </c>
      <c r="AJ13" s="61">
        <v>4</v>
      </c>
      <c r="AK13" s="61">
        <v>0</v>
      </c>
      <c r="AL13" s="408">
        <f t="shared" ref="AL13:AM13" si="94">AJ13*5</f>
        <v>20</v>
      </c>
      <c r="AM13" s="408">
        <f t="shared" si="94"/>
        <v>0</v>
      </c>
      <c r="AN13" s="194">
        <v>5</v>
      </c>
      <c r="AO13" s="194">
        <v>0</v>
      </c>
      <c r="AP13" s="405">
        <v>25</v>
      </c>
      <c r="AQ13" s="405">
        <v>0</v>
      </c>
      <c r="AR13" s="405">
        <v>125</v>
      </c>
      <c r="AS13" s="405">
        <v>0</v>
      </c>
      <c r="AT13" s="405">
        <v>5</v>
      </c>
      <c r="AU13" s="405">
        <v>0</v>
      </c>
      <c r="AV13" s="405">
        <v>25</v>
      </c>
      <c r="AW13" s="406">
        <v>0</v>
      </c>
      <c r="AX13" s="213">
        <v>5</v>
      </c>
      <c r="AY13" s="194">
        <v>0</v>
      </c>
      <c r="AZ13" s="405">
        <v>25</v>
      </c>
      <c r="BA13" s="405">
        <v>0</v>
      </c>
      <c r="BB13" s="405">
        <v>125</v>
      </c>
      <c r="BC13" s="405">
        <v>0</v>
      </c>
      <c r="BD13" s="405">
        <v>5</v>
      </c>
      <c r="BE13" s="405">
        <v>0</v>
      </c>
      <c r="BF13" s="405">
        <f t="shared" ref="BF13:BG13" si="95">BD13*5</f>
        <v>25</v>
      </c>
      <c r="BG13" s="406">
        <f t="shared" si="95"/>
        <v>0</v>
      </c>
      <c r="BH13" s="400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400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400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400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94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401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94">
        <v>11</v>
      </c>
      <c r="B14" s="194">
        <v>55</v>
      </c>
      <c r="C14" s="194">
        <f t="shared" si="4"/>
        <v>330</v>
      </c>
      <c r="D14" s="394">
        <v>11</v>
      </c>
      <c r="E14" s="194">
        <v>494</v>
      </c>
      <c r="F14" s="194">
        <f t="shared" si="5"/>
        <v>2128</v>
      </c>
      <c r="G14" s="415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14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12"/>
      <c r="S14" s="399">
        <v>11</v>
      </c>
      <c r="T14" s="404">
        <v>5</v>
      </c>
      <c r="U14" s="405">
        <v>0</v>
      </c>
      <c r="V14" s="194">
        <v>20</v>
      </c>
      <c r="W14" s="194">
        <v>0</v>
      </c>
      <c r="X14" s="405">
        <v>100</v>
      </c>
      <c r="Y14" s="405">
        <v>0</v>
      </c>
      <c r="Z14" s="405">
        <v>4</v>
      </c>
      <c r="AA14" s="405">
        <v>0</v>
      </c>
      <c r="AB14" s="410">
        <v>20</v>
      </c>
      <c r="AC14" s="410">
        <v>0</v>
      </c>
      <c r="AD14" s="213">
        <v>6</v>
      </c>
      <c r="AE14" s="194">
        <v>0</v>
      </c>
      <c r="AF14" s="405">
        <v>24</v>
      </c>
      <c r="AG14" s="405">
        <v>0</v>
      </c>
      <c r="AH14" s="194">
        <v>120</v>
      </c>
      <c r="AI14" s="194">
        <v>0</v>
      </c>
      <c r="AJ14" s="61">
        <v>5</v>
      </c>
      <c r="AK14" s="61">
        <v>0</v>
      </c>
      <c r="AL14" s="408">
        <f t="shared" ref="AL14:AM14" si="103">AJ14*5</f>
        <v>25</v>
      </c>
      <c r="AM14" s="408">
        <f t="shared" si="103"/>
        <v>0</v>
      </c>
      <c r="AN14" s="194">
        <v>6</v>
      </c>
      <c r="AO14" s="194">
        <v>0</v>
      </c>
      <c r="AP14" s="405">
        <v>30</v>
      </c>
      <c r="AQ14" s="405">
        <v>0</v>
      </c>
      <c r="AR14" s="405">
        <v>150</v>
      </c>
      <c r="AS14" s="405">
        <v>0</v>
      </c>
      <c r="AT14" s="405">
        <v>6</v>
      </c>
      <c r="AU14" s="405">
        <v>0</v>
      </c>
      <c r="AV14" s="405">
        <v>30</v>
      </c>
      <c r="AW14" s="406">
        <v>0</v>
      </c>
      <c r="AX14" s="213">
        <v>6</v>
      </c>
      <c r="AY14" s="194">
        <v>0</v>
      </c>
      <c r="AZ14" s="405">
        <v>30</v>
      </c>
      <c r="BA14" s="405">
        <v>0</v>
      </c>
      <c r="BB14" s="405">
        <v>150</v>
      </c>
      <c r="BC14" s="405">
        <v>0</v>
      </c>
      <c r="BD14" s="405">
        <v>6</v>
      </c>
      <c r="BE14" s="405">
        <v>0</v>
      </c>
      <c r="BF14" s="405">
        <f t="shared" ref="BF14:BG14" si="104">BD14*5</f>
        <v>30</v>
      </c>
      <c r="BG14" s="406">
        <f t="shared" si="104"/>
        <v>0</v>
      </c>
      <c r="BH14" s="400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400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400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400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94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401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94">
        <v>12</v>
      </c>
      <c r="B15" s="194">
        <v>60</v>
      </c>
      <c r="C15" s="194">
        <f t="shared" si="4"/>
        <v>390</v>
      </c>
      <c r="D15" s="394">
        <v>12</v>
      </c>
      <c r="E15" s="194">
        <v>586</v>
      </c>
      <c r="F15" s="194">
        <f t="shared" si="5"/>
        <v>2714</v>
      </c>
      <c r="G15" s="415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14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12"/>
      <c r="S15" s="399">
        <v>12</v>
      </c>
      <c r="T15" s="404">
        <v>5</v>
      </c>
      <c r="U15" s="405">
        <v>0</v>
      </c>
      <c r="V15" s="194">
        <v>20</v>
      </c>
      <c r="W15" s="194">
        <v>0</v>
      </c>
      <c r="X15" s="405">
        <v>100</v>
      </c>
      <c r="Y15" s="405">
        <v>0</v>
      </c>
      <c r="Z15" s="405">
        <v>4</v>
      </c>
      <c r="AA15" s="405">
        <v>0</v>
      </c>
      <c r="AB15" s="410">
        <v>20</v>
      </c>
      <c r="AC15" s="410">
        <v>0</v>
      </c>
      <c r="AD15" s="213">
        <v>6</v>
      </c>
      <c r="AE15" s="194">
        <v>0</v>
      </c>
      <c r="AF15" s="405">
        <v>28</v>
      </c>
      <c r="AG15" s="405">
        <v>0</v>
      </c>
      <c r="AH15" s="194">
        <v>140</v>
      </c>
      <c r="AI15" s="194">
        <v>0</v>
      </c>
      <c r="AJ15" s="61">
        <v>5</v>
      </c>
      <c r="AK15" s="61">
        <v>0</v>
      </c>
      <c r="AL15" s="408">
        <f t="shared" ref="AL15:AM15" si="112">AJ15*5</f>
        <v>25</v>
      </c>
      <c r="AM15" s="408">
        <f t="shared" si="112"/>
        <v>0</v>
      </c>
      <c r="AN15" s="194">
        <v>6</v>
      </c>
      <c r="AO15" s="194">
        <v>0</v>
      </c>
      <c r="AP15" s="405">
        <v>30</v>
      </c>
      <c r="AQ15" s="405">
        <v>0</v>
      </c>
      <c r="AR15" s="405">
        <v>150</v>
      </c>
      <c r="AS15" s="405">
        <v>0</v>
      </c>
      <c r="AT15" s="405">
        <v>6</v>
      </c>
      <c r="AU15" s="405">
        <v>0</v>
      </c>
      <c r="AV15" s="405">
        <v>30</v>
      </c>
      <c r="AW15" s="406">
        <v>0</v>
      </c>
      <c r="AX15" s="213">
        <v>6</v>
      </c>
      <c r="AY15" s="194">
        <v>0</v>
      </c>
      <c r="AZ15" s="405">
        <v>30</v>
      </c>
      <c r="BA15" s="405">
        <v>0</v>
      </c>
      <c r="BB15" s="405">
        <v>150</v>
      </c>
      <c r="BC15" s="405">
        <v>0</v>
      </c>
      <c r="BD15" s="405">
        <v>6</v>
      </c>
      <c r="BE15" s="405">
        <v>0</v>
      </c>
      <c r="BF15" s="405">
        <f t="shared" ref="BF15:BG15" si="113">BD15*5</f>
        <v>30</v>
      </c>
      <c r="BG15" s="406">
        <f t="shared" si="113"/>
        <v>0</v>
      </c>
      <c r="BH15" s="400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400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400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400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94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401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94">
        <v>13</v>
      </c>
      <c r="B16" s="194">
        <v>65</v>
      </c>
      <c r="C16" s="194">
        <f t="shared" si="4"/>
        <v>455</v>
      </c>
      <c r="D16" s="394">
        <v>13</v>
      </c>
      <c r="E16" s="194">
        <v>688</v>
      </c>
      <c r="F16" s="194">
        <f t="shared" si="5"/>
        <v>3402</v>
      </c>
      <c r="G16" s="415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14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12"/>
      <c r="S16" s="399">
        <v>13</v>
      </c>
      <c r="T16" s="404">
        <v>5</v>
      </c>
      <c r="U16" s="405">
        <v>0</v>
      </c>
      <c r="V16" s="194">
        <v>20</v>
      </c>
      <c r="W16" s="194">
        <v>0</v>
      </c>
      <c r="X16" s="405">
        <v>100</v>
      </c>
      <c r="Y16" s="405">
        <v>0</v>
      </c>
      <c r="Z16" s="194">
        <v>4</v>
      </c>
      <c r="AA16" s="194">
        <v>0</v>
      </c>
      <c r="AB16" s="410">
        <v>20</v>
      </c>
      <c r="AC16" s="410">
        <v>0</v>
      </c>
      <c r="AD16" s="213">
        <v>6</v>
      </c>
      <c r="AE16" s="194">
        <v>0</v>
      </c>
      <c r="AF16" s="405">
        <v>28</v>
      </c>
      <c r="AG16" s="405">
        <v>0</v>
      </c>
      <c r="AH16" s="194">
        <v>140</v>
      </c>
      <c r="AI16" s="194">
        <v>0</v>
      </c>
      <c r="AJ16" s="61">
        <v>5</v>
      </c>
      <c r="AK16" s="61">
        <v>0</v>
      </c>
      <c r="AL16" s="408">
        <f t="shared" ref="AL16:AM16" si="121">AJ16*5</f>
        <v>25</v>
      </c>
      <c r="AM16" s="408">
        <f t="shared" si="121"/>
        <v>0</v>
      </c>
      <c r="AN16" s="194">
        <v>6</v>
      </c>
      <c r="AO16" s="194">
        <v>0</v>
      </c>
      <c r="AP16" s="405">
        <v>30</v>
      </c>
      <c r="AQ16" s="405">
        <v>0</v>
      </c>
      <c r="AR16" s="405">
        <v>150</v>
      </c>
      <c r="AS16" s="405">
        <v>0</v>
      </c>
      <c r="AT16" s="405">
        <v>6</v>
      </c>
      <c r="AU16" s="405">
        <v>0</v>
      </c>
      <c r="AV16" s="405">
        <v>30</v>
      </c>
      <c r="AW16" s="406">
        <v>0</v>
      </c>
      <c r="AX16" s="213">
        <v>6</v>
      </c>
      <c r="AY16" s="194">
        <v>0</v>
      </c>
      <c r="AZ16" s="405">
        <v>30</v>
      </c>
      <c r="BA16" s="405">
        <v>0</v>
      </c>
      <c r="BB16" s="405">
        <v>150</v>
      </c>
      <c r="BC16" s="405">
        <v>0</v>
      </c>
      <c r="BD16" s="405">
        <v>6</v>
      </c>
      <c r="BE16" s="405">
        <v>0</v>
      </c>
      <c r="BF16" s="405">
        <f t="shared" ref="BF16:BG16" si="122">BD16*5</f>
        <v>30</v>
      </c>
      <c r="BG16" s="406">
        <f t="shared" si="122"/>
        <v>0</v>
      </c>
      <c r="BH16" s="400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400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400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400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94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401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94">
        <v>14</v>
      </c>
      <c r="B17" s="194">
        <v>70</v>
      </c>
      <c r="C17" s="194">
        <f t="shared" si="4"/>
        <v>525</v>
      </c>
      <c r="D17" s="394">
        <v>14</v>
      </c>
      <c r="E17" s="194">
        <v>798</v>
      </c>
      <c r="F17" s="194">
        <f t="shared" si="5"/>
        <v>4200</v>
      </c>
      <c r="G17" s="415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14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12"/>
      <c r="S17" s="399">
        <v>14</v>
      </c>
      <c r="T17" s="404">
        <v>6</v>
      </c>
      <c r="U17" s="405">
        <v>0</v>
      </c>
      <c r="V17" s="194">
        <v>24</v>
      </c>
      <c r="W17" s="194">
        <v>0</v>
      </c>
      <c r="X17" s="405">
        <v>120</v>
      </c>
      <c r="Y17" s="405">
        <v>0</v>
      </c>
      <c r="Z17" s="405">
        <v>5</v>
      </c>
      <c r="AA17" s="405">
        <v>0</v>
      </c>
      <c r="AB17" s="410">
        <v>25</v>
      </c>
      <c r="AC17" s="410">
        <v>0</v>
      </c>
      <c r="AD17" s="213">
        <v>8</v>
      </c>
      <c r="AE17" s="194">
        <v>0</v>
      </c>
      <c r="AF17" s="405">
        <v>32</v>
      </c>
      <c r="AG17" s="405">
        <v>0</v>
      </c>
      <c r="AH17" s="194">
        <v>160</v>
      </c>
      <c r="AI17" s="194">
        <v>0</v>
      </c>
      <c r="AJ17" s="61">
        <v>6</v>
      </c>
      <c r="AK17" s="61">
        <v>0</v>
      </c>
      <c r="AL17" s="408">
        <f t="shared" ref="AL17:AM17" si="130">AJ17*5</f>
        <v>30</v>
      </c>
      <c r="AM17" s="408">
        <f t="shared" si="130"/>
        <v>0</v>
      </c>
      <c r="AN17" s="194">
        <v>8</v>
      </c>
      <c r="AO17" s="194">
        <v>0</v>
      </c>
      <c r="AP17" s="405">
        <v>40</v>
      </c>
      <c r="AQ17" s="405">
        <v>0</v>
      </c>
      <c r="AR17" s="405">
        <v>200</v>
      </c>
      <c r="AS17" s="405">
        <v>0</v>
      </c>
      <c r="AT17" s="405">
        <v>8</v>
      </c>
      <c r="AU17" s="405">
        <v>0</v>
      </c>
      <c r="AV17" s="405">
        <v>40</v>
      </c>
      <c r="AW17" s="406">
        <v>0</v>
      </c>
      <c r="AX17" s="213">
        <v>8</v>
      </c>
      <c r="AY17" s="194">
        <v>0</v>
      </c>
      <c r="AZ17" s="405">
        <v>40</v>
      </c>
      <c r="BA17" s="405">
        <v>0</v>
      </c>
      <c r="BB17" s="194">
        <v>200</v>
      </c>
      <c r="BC17" s="194">
        <v>0</v>
      </c>
      <c r="BD17" s="405">
        <v>8</v>
      </c>
      <c r="BE17" s="405">
        <v>0</v>
      </c>
      <c r="BF17" s="405">
        <f t="shared" ref="BF17:BG17" si="131">BD17*5</f>
        <v>40</v>
      </c>
      <c r="BG17" s="406">
        <f t="shared" si="131"/>
        <v>0</v>
      </c>
      <c r="BH17" s="400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400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400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400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94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401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94">
        <v>15</v>
      </c>
      <c r="B18" s="194">
        <v>75</v>
      </c>
      <c r="C18" s="194">
        <f t="shared" si="4"/>
        <v>600</v>
      </c>
      <c r="D18" s="394">
        <v>15</v>
      </c>
      <c r="E18" s="194">
        <v>916</v>
      </c>
      <c r="F18" s="194">
        <f t="shared" si="5"/>
        <v>5116</v>
      </c>
      <c r="G18" s="415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14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12"/>
      <c r="S18" s="399">
        <v>15</v>
      </c>
      <c r="T18" s="404">
        <v>6</v>
      </c>
      <c r="U18" s="405">
        <v>0</v>
      </c>
      <c r="V18" s="194">
        <v>24</v>
      </c>
      <c r="W18" s="194">
        <v>0</v>
      </c>
      <c r="X18" s="405">
        <v>120</v>
      </c>
      <c r="Y18" s="405">
        <v>0</v>
      </c>
      <c r="Z18" s="405">
        <v>5</v>
      </c>
      <c r="AA18" s="405">
        <v>0</v>
      </c>
      <c r="AB18" s="410">
        <v>25</v>
      </c>
      <c r="AC18" s="410">
        <v>0</v>
      </c>
      <c r="AD18" s="213">
        <v>8</v>
      </c>
      <c r="AE18" s="194">
        <v>0</v>
      </c>
      <c r="AF18" s="405">
        <v>32</v>
      </c>
      <c r="AG18" s="405">
        <v>0</v>
      </c>
      <c r="AH18" s="194">
        <v>160</v>
      </c>
      <c r="AI18" s="194">
        <v>0</v>
      </c>
      <c r="AJ18" s="61">
        <v>6</v>
      </c>
      <c r="AK18" s="61">
        <v>0</v>
      </c>
      <c r="AL18" s="408">
        <f t="shared" ref="AL18:AM18" si="139">AJ18*5</f>
        <v>30</v>
      </c>
      <c r="AM18" s="408">
        <f t="shared" si="139"/>
        <v>0</v>
      </c>
      <c r="AN18" s="194">
        <v>8</v>
      </c>
      <c r="AO18" s="194">
        <v>0</v>
      </c>
      <c r="AP18" s="405">
        <v>40</v>
      </c>
      <c r="AQ18" s="405">
        <v>0</v>
      </c>
      <c r="AR18" s="405">
        <v>200</v>
      </c>
      <c r="AS18" s="405">
        <v>0</v>
      </c>
      <c r="AT18" s="405">
        <v>8</v>
      </c>
      <c r="AU18" s="405">
        <v>0</v>
      </c>
      <c r="AV18" s="194">
        <v>40</v>
      </c>
      <c r="AW18" s="215">
        <v>0</v>
      </c>
      <c r="AX18" s="213">
        <v>8</v>
      </c>
      <c r="AY18" s="194">
        <v>0</v>
      </c>
      <c r="AZ18" s="405">
        <v>40</v>
      </c>
      <c r="BA18" s="405">
        <v>0</v>
      </c>
      <c r="BB18" s="405">
        <v>200</v>
      </c>
      <c r="BC18" s="405">
        <v>0</v>
      </c>
      <c r="BD18" s="405">
        <v>8</v>
      </c>
      <c r="BE18" s="405">
        <v>0</v>
      </c>
      <c r="BF18" s="405">
        <f t="shared" ref="BF18:BG18" si="140">BD18*5</f>
        <v>40</v>
      </c>
      <c r="BG18" s="406">
        <f t="shared" si="140"/>
        <v>0</v>
      </c>
      <c r="BH18" s="400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400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400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400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94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401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94">
        <v>16</v>
      </c>
      <c r="B19" s="194">
        <v>80</v>
      </c>
      <c r="C19" s="194">
        <f t="shared" si="4"/>
        <v>680</v>
      </c>
      <c r="D19" s="394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14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12"/>
      <c r="S19" s="399">
        <v>16</v>
      </c>
      <c r="T19" s="404">
        <v>7</v>
      </c>
      <c r="U19" s="405">
        <v>0</v>
      </c>
      <c r="V19" s="194">
        <v>28</v>
      </c>
      <c r="W19" s="194">
        <v>0</v>
      </c>
      <c r="X19" s="405">
        <v>140</v>
      </c>
      <c r="Y19" s="405">
        <v>0</v>
      </c>
      <c r="Z19" s="405">
        <v>6</v>
      </c>
      <c r="AA19" s="405">
        <v>0</v>
      </c>
      <c r="AB19" s="410">
        <v>30</v>
      </c>
      <c r="AC19" s="410">
        <v>0</v>
      </c>
      <c r="AD19" s="213">
        <v>9</v>
      </c>
      <c r="AE19" s="194">
        <v>0</v>
      </c>
      <c r="AF19" s="405">
        <v>36</v>
      </c>
      <c r="AG19" s="405">
        <v>0</v>
      </c>
      <c r="AH19" s="194">
        <v>180</v>
      </c>
      <c r="AI19" s="194">
        <v>0</v>
      </c>
      <c r="AJ19" s="61">
        <v>6</v>
      </c>
      <c r="AK19" s="61">
        <v>0</v>
      </c>
      <c r="AL19" s="408">
        <f t="shared" ref="AL19:AM19" si="148">AJ19*5</f>
        <v>30</v>
      </c>
      <c r="AM19" s="408">
        <f t="shared" si="148"/>
        <v>0</v>
      </c>
      <c r="AN19" s="194">
        <v>9</v>
      </c>
      <c r="AO19" s="194">
        <v>0</v>
      </c>
      <c r="AP19" s="405">
        <v>45</v>
      </c>
      <c r="AQ19" s="405">
        <v>0</v>
      </c>
      <c r="AR19" s="405">
        <v>225</v>
      </c>
      <c r="AS19" s="405">
        <v>0</v>
      </c>
      <c r="AT19" s="405">
        <v>9</v>
      </c>
      <c r="AU19" s="405">
        <v>0</v>
      </c>
      <c r="AV19" s="405">
        <v>45</v>
      </c>
      <c r="AW19" s="406">
        <v>0</v>
      </c>
      <c r="AX19" s="213">
        <v>9</v>
      </c>
      <c r="AY19" s="194">
        <v>0</v>
      </c>
      <c r="AZ19" s="405">
        <v>45</v>
      </c>
      <c r="BA19" s="405">
        <v>0</v>
      </c>
      <c r="BB19" s="405">
        <v>225</v>
      </c>
      <c r="BC19" s="405">
        <v>0</v>
      </c>
      <c r="BD19" s="405">
        <v>9</v>
      </c>
      <c r="BE19" s="405">
        <v>0</v>
      </c>
      <c r="BF19" s="405">
        <f t="shared" ref="BF19:BG19" si="149">BD19*5</f>
        <v>45</v>
      </c>
      <c r="BG19" s="406">
        <f t="shared" si="149"/>
        <v>0</v>
      </c>
      <c r="BH19" s="400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400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400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400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94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401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94">
        <v>17</v>
      </c>
      <c r="B20" s="194">
        <v>85</v>
      </c>
      <c r="C20" s="194">
        <f t="shared" si="4"/>
        <v>765</v>
      </c>
      <c r="D20" s="394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14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12"/>
      <c r="S20" s="399">
        <v>17</v>
      </c>
      <c r="T20" s="404">
        <v>7</v>
      </c>
      <c r="U20" s="405">
        <v>0</v>
      </c>
      <c r="V20" s="194">
        <v>28</v>
      </c>
      <c r="W20" s="194">
        <v>0</v>
      </c>
      <c r="X20" s="405">
        <v>140</v>
      </c>
      <c r="Y20" s="405">
        <v>0</v>
      </c>
      <c r="Z20" s="405">
        <v>6</v>
      </c>
      <c r="AA20" s="405">
        <v>0</v>
      </c>
      <c r="AB20" s="405">
        <v>30</v>
      </c>
      <c r="AC20" s="405">
        <v>0</v>
      </c>
      <c r="AD20" s="213">
        <v>9</v>
      </c>
      <c r="AE20" s="194">
        <v>0</v>
      </c>
      <c r="AF20" s="405">
        <v>36</v>
      </c>
      <c r="AG20" s="405">
        <v>0</v>
      </c>
      <c r="AH20" s="194">
        <v>180</v>
      </c>
      <c r="AI20" s="194">
        <v>0</v>
      </c>
      <c r="AJ20" s="61">
        <v>8</v>
      </c>
      <c r="AK20" s="61">
        <v>0</v>
      </c>
      <c r="AL20" s="408">
        <f t="shared" ref="AL20:AM20" si="157">AJ20*5</f>
        <v>40</v>
      </c>
      <c r="AM20" s="408">
        <f t="shared" si="157"/>
        <v>0</v>
      </c>
      <c r="AN20" s="194">
        <v>9</v>
      </c>
      <c r="AO20" s="194">
        <v>0</v>
      </c>
      <c r="AP20" s="405">
        <v>45</v>
      </c>
      <c r="AQ20" s="405">
        <v>0</v>
      </c>
      <c r="AR20" s="405">
        <v>225</v>
      </c>
      <c r="AS20" s="405">
        <v>0</v>
      </c>
      <c r="AT20" s="405">
        <v>9</v>
      </c>
      <c r="AU20" s="405">
        <v>0</v>
      </c>
      <c r="AV20" s="405">
        <v>45</v>
      </c>
      <c r="AW20" s="406">
        <v>0</v>
      </c>
      <c r="AX20" s="213">
        <v>9</v>
      </c>
      <c r="AY20" s="194">
        <v>0</v>
      </c>
      <c r="AZ20" s="405">
        <v>45</v>
      </c>
      <c r="BA20" s="405">
        <v>0</v>
      </c>
      <c r="BB20" s="405">
        <v>225</v>
      </c>
      <c r="BC20" s="405">
        <v>0</v>
      </c>
      <c r="BD20" s="405">
        <v>9</v>
      </c>
      <c r="BE20" s="405">
        <v>0</v>
      </c>
      <c r="BF20" s="405">
        <f t="shared" ref="BF20:BG20" si="158">BD20*5</f>
        <v>45</v>
      </c>
      <c r="BG20" s="406">
        <f t="shared" si="158"/>
        <v>0</v>
      </c>
      <c r="BH20" s="400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400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400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400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94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401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94">
        <v>18</v>
      </c>
      <c r="B21" s="194">
        <v>90</v>
      </c>
      <c r="C21" s="194">
        <f t="shared" si="4"/>
        <v>855</v>
      </c>
      <c r="D21" s="394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12"/>
      <c r="S21" s="399">
        <v>18</v>
      </c>
      <c r="T21" s="404">
        <v>7</v>
      </c>
      <c r="U21" s="405">
        <v>0</v>
      </c>
      <c r="V21" s="194">
        <v>28</v>
      </c>
      <c r="W21" s="194">
        <v>0</v>
      </c>
      <c r="X21" s="405">
        <v>140</v>
      </c>
      <c r="Y21" s="405">
        <v>0</v>
      </c>
      <c r="Z21" s="194">
        <v>6</v>
      </c>
      <c r="AA21" s="194">
        <v>0</v>
      </c>
      <c r="AB21" s="405">
        <v>30</v>
      </c>
      <c r="AC21" s="405">
        <v>0</v>
      </c>
      <c r="AD21" s="213">
        <v>9</v>
      </c>
      <c r="AE21" s="194">
        <v>0</v>
      </c>
      <c r="AF21" s="405">
        <v>40</v>
      </c>
      <c r="AG21" s="405">
        <v>0</v>
      </c>
      <c r="AH21" s="194">
        <v>200</v>
      </c>
      <c r="AI21" s="194">
        <v>0</v>
      </c>
      <c r="AJ21" s="61">
        <v>8</v>
      </c>
      <c r="AK21" s="61">
        <v>0</v>
      </c>
      <c r="AL21" s="408">
        <f t="shared" ref="AL21:AM21" si="166">AJ21*5</f>
        <v>40</v>
      </c>
      <c r="AM21" s="408">
        <f t="shared" si="166"/>
        <v>0</v>
      </c>
      <c r="AN21" s="194">
        <v>9</v>
      </c>
      <c r="AO21" s="194">
        <v>0</v>
      </c>
      <c r="AP21" s="405">
        <v>45</v>
      </c>
      <c r="AQ21" s="405">
        <v>0</v>
      </c>
      <c r="AR21" s="405">
        <v>225</v>
      </c>
      <c r="AS21" s="405">
        <v>0</v>
      </c>
      <c r="AT21" s="405">
        <v>9</v>
      </c>
      <c r="AU21" s="405">
        <v>0</v>
      </c>
      <c r="AV21" s="405">
        <v>45</v>
      </c>
      <c r="AW21" s="406">
        <v>0</v>
      </c>
      <c r="AX21" s="213">
        <v>9</v>
      </c>
      <c r="AY21" s="194">
        <v>0</v>
      </c>
      <c r="AZ21" s="405">
        <v>45</v>
      </c>
      <c r="BA21" s="405">
        <v>0</v>
      </c>
      <c r="BB21" s="405">
        <v>225</v>
      </c>
      <c r="BC21" s="405">
        <v>0</v>
      </c>
      <c r="BD21" s="405">
        <v>9</v>
      </c>
      <c r="BE21" s="405">
        <v>0</v>
      </c>
      <c r="BF21" s="405">
        <f t="shared" ref="BF21:BG21" si="167">BD21*5</f>
        <v>45</v>
      </c>
      <c r="BG21" s="406">
        <f t="shared" si="167"/>
        <v>0</v>
      </c>
      <c r="BH21" s="400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400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400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400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94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401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94">
        <v>19</v>
      </c>
      <c r="B22" s="194">
        <v>95</v>
      </c>
      <c r="C22" s="194">
        <f t="shared" si="4"/>
        <v>950</v>
      </c>
      <c r="D22" s="394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12"/>
      <c r="S22" s="399">
        <v>19</v>
      </c>
      <c r="T22" s="404">
        <v>8</v>
      </c>
      <c r="U22" s="405">
        <v>0</v>
      </c>
      <c r="V22" s="194">
        <v>32</v>
      </c>
      <c r="W22" s="194">
        <v>0</v>
      </c>
      <c r="X22" s="405">
        <v>160</v>
      </c>
      <c r="Y22" s="405">
        <v>0</v>
      </c>
      <c r="Z22" s="405">
        <v>6</v>
      </c>
      <c r="AA22" s="405">
        <v>0</v>
      </c>
      <c r="AB22" s="405">
        <v>30</v>
      </c>
      <c r="AC22" s="405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08">
        <f t="shared" ref="AL22:AM22" si="175">AJ22*5</f>
        <v>40</v>
      </c>
      <c r="AM22" s="408">
        <f t="shared" si="175"/>
        <v>0</v>
      </c>
      <c r="AN22" s="194">
        <v>11</v>
      </c>
      <c r="AO22" s="194">
        <v>0</v>
      </c>
      <c r="AP22" s="405">
        <v>55</v>
      </c>
      <c r="AQ22" s="405">
        <v>0</v>
      </c>
      <c r="AR22" s="405">
        <v>275</v>
      </c>
      <c r="AS22" s="405">
        <v>0</v>
      </c>
      <c r="AT22" s="194">
        <v>11</v>
      </c>
      <c r="AU22" s="194">
        <v>0</v>
      </c>
      <c r="AV22" s="405">
        <v>55</v>
      </c>
      <c r="AW22" s="406">
        <v>0</v>
      </c>
      <c r="AX22" s="213">
        <v>11</v>
      </c>
      <c r="AY22" s="194">
        <v>0</v>
      </c>
      <c r="AZ22" s="405">
        <v>55</v>
      </c>
      <c r="BA22" s="405">
        <v>0</v>
      </c>
      <c r="BB22" s="405">
        <v>275</v>
      </c>
      <c r="BC22" s="405">
        <v>0</v>
      </c>
      <c r="BD22" s="405">
        <v>11</v>
      </c>
      <c r="BE22" s="405">
        <v>0</v>
      </c>
      <c r="BF22" s="405">
        <f t="shared" ref="BF22:BG22" si="176">BD22*5</f>
        <v>55</v>
      </c>
      <c r="BG22" s="406">
        <f t="shared" si="176"/>
        <v>0</v>
      </c>
      <c r="BH22" s="400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400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400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400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94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401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94">
        <v>20</v>
      </c>
      <c r="B23" s="194">
        <v>100</v>
      </c>
      <c r="C23" s="194">
        <f t="shared" si="4"/>
        <v>1050</v>
      </c>
      <c r="D23" s="394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12"/>
      <c r="S23" s="399">
        <v>20</v>
      </c>
      <c r="T23" s="404">
        <v>8</v>
      </c>
      <c r="U23" s="405">
        <v>0</v>
      </c>
      <c r="V23" s="194">
        <v>32</v>
      </c>
      <c r="W23" s="194">
        <v>0</v>
      </c>
      <c r="X23" s="194">
        <v>160</v>
      </c>
      <c r="Y23" s="194">
        <v>0</v>
      </c>
      <c r="Z23" s="405">
        <v>6</v>
      </c>
      <c r="AA23" s="405">
        <v>0</v>
      </c>
      <c r="AB23" s="405">
        <v>30</v>
      </c>
      <c r="AC23" s="405">
        <v>0</v>
      </c>
      <c r="AD23" s="213">
        <v>11</v>
      </c>
      <c r="AE23" s="194">
        <v>0</v>
      </c>
      <c r="AF23" s="405">
        <v>44</v>
      </c>
      <c r="AG23" s="405">
        <v>0</v>
      </c>
      <c r="AH23" s="194">
        <v>220</v>
      </c>
      <c r="AI23" s="194">
        <v>0</v>
      </c>
      <c r="AJ23" s="61">
        <v>10</v>
      </c>
      <c r="AK23" s="61">
        <v>0</v>
      </c>
      <c r="AL23" s="408">
        <f t="shared" ref="AL23:AM23" si="184">AJ23*5</f>
        <v>50</v>
      </c>
      <c r="AM23" s="408">
        <f t="shared" si="184"/>
        <v>0</v>
      </c>
      <c r="AN23" s="405">
        <v>11</v>
      </c>
      <c r="AO23" s="405">
        <v>0</v>
      </c>
      <c r="AP23" s="405">
        <v>55</v>
      </c>
      <c r="AQ23" s="405">
        <v>0</v>
      </c>
      <c r="AR23" s="194">
        <v>275</v>
      </c>
      <c r="AS23" s="194">
        <v>0</v>
      </c>
      <c r="AT23" s="405">
        <v>11</v>
      </c>
      <c r="AU23" s="405">
        <v>0</v>
      </c>
      <c r="AV23" s="416">
        <v>55</v>
      </c>
      <c r="AW23" s="417">
        <v>0</v>
      </c>
      <c r="AX23" s="213">
        <v>11</v>
      </c>
      <c r="AY23" s="194">
        <v>0</v>
      </c>
      <c r="AZ23" s="405">
        <v>55</v>
      </c>
      <c r="BA23" s="405">
        <v>0</v>
      </c>
      <c r="BB23" s="405">
        <v>275</v>
      </c>
      <c r="BC23" s="405">
        <v>0</v>
      </c>
      <c r="BD23" s="405">
        <v>11</v>
      </c>
      <c r="BE23" s="405">
        <v>0</v>
      </c>
      <c r="BF23" s="405">
        <f t="shared" ref="BF23:BG23" si="185">BD23*5</f>
        <v>55</v>
      </c>
      <c r="BG23" s="406">
        <f t="shared" si="185"/>
        <v>0</v>
      </c>
      <c r="BH23" s="400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400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400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400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94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401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94">
        <v>21</v>
      </c>
      <c r="B24" s="194">
        <v>110</v>
      </c>
      <c r="C24" s="194">
        <f t="shared" si="4"/>
        <v>1160</v>
      </c>
      <c r="D24" s="394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12"/>
      <c r="S24" s="399">
        <v>21</v>
      </c>
      <c r="T24" s="213">
        <v>8</v>
      </c>
      <c r="U24" s="194">
        <v>0</v>
      </c>
      <c r="V24" s="194">
        <v>32</v>
      </c>
      <c r="W24" s="194">
        <v>0</v>
      </c>
      <c r="X24" s="405">
        <v>160</v>
      </c>
      <c r="Y24" s="405">
        <v>0</v>
      </c>
      <c r="Z24" s="405">
        <v>6</v>
      </c>
      <c r="AA24" s="405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08">
        <f t="shared" ref="AL24:AM24" si="193">AJ24*5</f>
        <v>50</v>
      </c>
      <c r="AM24" s="408">
        <f t="shared" si="193"/>
        <v>0</v>
      </c>
      <c r="AN24" s="405">
        <v>11</v>
      </c>
      <c r="AO24" s="405">
        <v>0</v>
      </c>
      <c r="AP24" s="405">
        <v>55</v>
      </c>
      <c r="AQ24" s="405">
        <v>0</v>
      </c>
      <c r="AR24" s="405">
        <v>275</v>
      </c>
      <c r="AS24" s="405">
        <v>0</v>
      </c>
      <c r="AT24" s="405">
        <v>11</v>
      </c>
      <c r="AU24" s="405">
        <v>0</v>
      </c>
      <c r="AV24" s="418">
        <v>55</v>
      </c>
      <c r="AW24" s="419">
        <v>0</v>
      </c>
      <c r="AX24" s="213">
        <v>11</v>
      </c>
      <c r="AY24" s="194">
        <v>0</v>
      </c>
      <c r="AZ24" s="405">
        <v>55</v>
      </c>
      <c r="BA24" s="405">
        <v>0</v>
      </c>
      <c r="BB24" s="194">
        <v>275</v>
      </c>
      <c r="BC24" s="194">
        <v>0</v>
      </c>
      <c r="BD24" s="405">
        <v>11</v>
      </c>
      <c r="BE24" s="405">
        <v>0</v>
      </c>
      <c r="BF24" s="405">
        <f t="shared" ref="BF24:BG24" si="194">BD24*5</f>
        <v>55</v>
      </c>
      <c r="BG24" s="406">
        <f t="shared" si="194"/>
        <v>0</v>
      </c>
      <c r="BH24" s="400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400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400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400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94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401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94">
        <v>22</v>
      </c>
      <c r="B25" s="194">
        <v>120</v>
      </c>
      <c r="C25" s="194">
        <f t="shared" si="4"/>
        <v>1280</v>
      </c>
      <c r="D25" s="394">
        <v>22</v>
      </c>
      <c r="E25" s="194">
        <v>2009</v>
      </c>
      <c r="F25" s="194">
        <f t="shared" si="5"/>
        <v>15636</v>
      </c>
      <c r="G25" s="420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12"/>
      <c r="S25" s="399">
        <v>22</v>
      </c>
      <c r="T25" s="404">
        <v>8</v>
      </c>
      <c r="U25" s="405">
        <v>0</v>
      </c>
      <c r="V25" s="61">
        <v>32</v>
      </c>
      <c r="W25" s="61">
        <v>0</v>
      </c>
      <c r="X25" s="405">
        <v>160</v>
      </c>
      <c r="Y25" s="405">
        <v>0</v>
      </c>
      <c r="Z25" s="405">
        <v>6</v>
      </c>
      <c r="AA25" s="405">
        <v>0</v>
      </c>
      <c r="AB25" s="405">
        <v>30</v>
      </c>
      <c r="AC25" s="405">
        <v>0</v>
      </c>
      <c r="AD25" s="213">
        <v>11</v>
      </c>
      <c r="AE25" s="194">
        <v>0</v>
      </c>
      <c r="AF25" s="405">
        <v>48</v>
      </c>
      <c r="AG25" s="405">
        <v>0</v>
      </c>
      <c r="AH25" s="194">
        <v>240</v>
      </c>
      <c r="AI25" s="194">
        <v>0</v>
      </c>
      <c r="AJ25" s="61">
        <v>10</v>
      </c>
      <c r="AK25" s="61">
        <v>0</v>
      </c>
      <c r="AL25" s="408">
        <f t="shared" ref="AL25:AM25" si="202">AJ25*5</f>
        <v>50</v>
      </c>
      <c r="AM25" s="408">
        <f t="shared" si="202"/>
        <v>0</v>
      </c>
      <c r="AN25" s="405">
        <v>11</v>
      </c>
      <c r="AO25" s="405">
        <v>0</v>
      </c>
      <c r="AP25" s="405">
        <v>55</v>
      </c>
      <c r="AQ25" s="405">
        <v>0</v>
      </c>
      <c r="AR25" s="405">
        <v>275</v>
      </c>
      <c r="AS25" s="405">
        <v>0</v>
      </c>
      <c r="AT25" s="405">
        <v>11</v>
      </c>
      <c r="AU25" s="405">
        <v>0</v>
      </c>
      <c r="AV25" s="418">
        <v>55</v>
      </c>
      <c r="AW25" s="419">
        <v>0</v>
      </c>
      <c r="AX25" s="213">
        <v>11</v>
      </c>
      <c r="AY25" s="194">
        <v>0</v>
      </c>
      <c r="AZ25" s="405">
        <v>55</v>
      </c>
      <c r="BA25" s="405">
        <v>0</v>
      </c>
      <c r="BB25" s="405">
        <v>275</v>
      </c>
      <c r="BC25" s="405">
        <v>0</v>
      </c>
      <c r="BD25" s="405">
        <v>11</v>
      </c>
      <c r="BE25" s="405">
        <v>0</v>
      </c>
      <c r="BF25" s="405">
        <f t="shared" ref="BF25:BG25" si="203">BD25*5</f>
        <v>55</v>
      </c>
      <c r="BG25" s="406">
        <f t="shared" si="203"/>
        <v>0</v>
      </c>
      <c r="BH25" s="400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400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400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400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94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401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94">
        <v>23</v>
      </c>
      <c r="B26" s="194">
        <v>130</v>
      </c>
      <c r="C26" s="194">
        <f t="shared" si="4"/>
        <v>1410</v>
      </c>
      <c r="D26" s="394">
        <v>23</v>
      </c>
      <c r="E26" s="194">
        <v>2204</v>
      </c>
      <c r="F26" s="194">
        <f t="shared" si="5"/>
        <v>17840</v>
      </c>
      <c r="G26" s="420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12"/>
      <c r="S26" s="399">
        <v>23</v>
      </c>
      <c r="T26" s="404">
        <v>8</v>
      </c>
      <c r="U26" s="405">
        <v>0</v>
      </c>
      <c r="V26" s="194">
        <v>32</v>
      </c>
      <c r="W26" s="194">
        <v>0</v>
      </c>
      <c r="X26" s="405">
        <v>160</v>
      </c>
      <c r="Y26" s="405">
        <v>0</v>
      </c>
      <c r="Z26" s="405">
        <v>6</v>
      </c>
      <c r="AA26" s="405">
        <v>0</v>
      </c>
      <c r="AB26" s="194">
        <v>30</v>
      </c>
      <c r="AC26" s="194">
        <v>0</v>
      </c>
      <c r="AD26" s="213">
        <v>11</v>
      </c>
      <c r="AE26" s="194">
        <v>0</v>
      </c>
      <c r="AF26" s="405">
        <v>48</v>
      </c>
      <c r="AG26" s="405">
        <v>0</v>
      </c>
      <c r="AH26" s="194">
        <v>240</v>
      </c>
      <c r="AI26" s="194">
        <v>0</v>
      </c>
      <c r="AJ26" s="61">
        <v>12</v>
      </c>
      <c r="AK26" s="61">
        <v>0</v>
      </c>
      <c r="AL26" s="408">
        <f t="shared" ref="AL26:AM26" si="211">AJ26*5</f>
        <v>60</v>
      </c>
      <c r="AM26" s="408">
        <f t="shared" si="211"/>
        <v>0</v>
      </c>
      <c r="AN26" s="405">
        <v>11</v>
      </c>
      <c r="AO26" s="405">
        <v>0</v>
      </c>
      <c r="AP26" s="405">
        <v>55</v>
      </c>
      <c r="AQ26" s="405">
        <v>0</v>
      </c>
      <c r="AR26" s="405">
        <v>275</v>
      </c>
      <c r="AS26" s="405">
        <v>0</v>
      </c>
      <c r="AT26" s="405">
        <v>11</v>
      </c>
      <c r="AU26" s="405">
        <v>0</v>
      </c>
      <c r="AV26" s="418">
        <v>55</v>
      </c>
      <c r="AW26" s="419">
        <v>0</v>
      </c>
      <c r="AX26" s="213">
        <v>11</v>
      </c>
      <c r="AY26" s="194">
        <v>0</v>
      </c>
      <c r="AZ26" s="405">
        <v>55</v>
      </c>
      <c r="BA26" s="405">
        <v>0</v>
      </c>
      <c r="BB26" s="405">
        <v>275</v>
      </c>
      <c r="BC26" s="405">
        <v>0</v>
      </c>
      <c r="BD26" s="405">
        <v>11</v>
      </c>
      <c r="BE26" s="405">
        <v>0</v>
      </c>
      <c r="BF26" s="405">
        <f t="shared" ref="BF26:BG26" si="212">BD26*5</f>
        <v>55</v>
      </c>
      <c r="BG26" s="406">
        <f t="shared" si="212"/>
        <v>0</v>
      </c>
      <c r="BH26" s="400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400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400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400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94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401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94">
        <v>24</v>
      </c>
      <c r="B27" s="194">
        <v>140</v>
      </c>
      <c r="C27" s="194">
        <f t="shared" si="4"/>
        <v>1550</v>
      </c>
      <c r="D27" s="394">
        <v>24</v>
      </c>
      <c r="E27" s="194">
        <v>2408</v>
      </c>
      <c r="F27" s="194">
        <f t="shared" si="5"/>
        <v>20248</v>
      </c>
      <c r="G27" s="420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12"/>
      <c r="S27" s="399">
        <v>24</v>
      </c>
      <c r="T27" s="404">
        <v>11</v>
      </c>
      <c r="U27" s="405">
        <v>0</v>
      </c>
      <c r="V27" s="194">
        <v>44</v>
      </c>
      <c r="W27" s="194">
        <v>0</v>
      </c>
      <c r="X27" s="405">
        <v>220</v>
      </c>
      <c r="Y27" s="405">
        <v>0</v>
      </c>
      <c r="Z27" s="194">
        <v>9</v>
      </c>
      <c r="AA27" s="194">
        <v>0</v>
      </c>
      <c r="AB27" s="405">
        <v>45</v>
      </c>
      <c r="AC27" s="405">
        <v>0</v>
      </c>
      <c r="AD27" s="213">
        <v>14</v>
      </c>
      <c r="AE27" s="194">
        <v>0</v>
      </c>
      <c r="AF27" s="405">
        <v>56</v>
      </c>
      <c r="AG27" s="405">
        <v>0</v>
      </c>
      <c r="AH27" s="194">
        <v>280</v>
      </c>
      <c r="AI27" s="194">
        <v>0</v>
      </c>
      <c r="AJ27" s="61">
        <v>12</v>
      </c>
      <c r="AK27" s="61">
        <v>0</v>
      </c>
      <c r="AL27" s="408">
        <f t="shared" ref="AL27:AM27" si="220">AJ27*5</f>
        <v>60</v>
      </c>
      <c r="AM27" s="408">
        <f t="shared" si="220"/>
        <v>0</v>
      </c>
      <c r="AN27" s="405">
        <v>14</v>
      </c>
      <c r="AO27" s="405">
        <v>0</v>
      </c>
      <c r="AP27" s="405">
        <v>70</v>
      </c>
      <c r="AQ27" s="405">
        <v>0</v>
      </c>
      <c r="AR27" s="405">
        <v>350</v>
      </c>
      <c r="AS27" s="405">
        <v>0</v>
      </c>
      <c r="AT27" s="405">
        <v>14</v>
      </c>
      <c r="AU27" s="405">
        <v>0</v>
      </c>
      <c r="AV27" s="418">
        <v>70</v>
      </c>
      <c r="AW27" s="419">
        <v>0</v>
      </c>
      <c r="AX27" s="213">
        <v>14</v>
      </c>
      <c r="AY27" s="194">
        <v>0</v>
      </c>
      <c r="AZ27" s="405">
        <v>70</v>
      </c>
      <c r="BA27" s="405">
        <v>0</v>
      </c>
      <c r="BB27" s="194">
        <v>350</v>
      </c>
      <c r="BC27" s="194">
        <v>0</v>
      </c>
      <c r="BD27" s="405">
        <v>14</v>
      </c>
      <c r="BE27" s="405">
        <v>0</v>
      </c>
      <c r="BF27" s="405">
        <f t="shared" ref="BF27:BG27" si="221">BD27*5</f>
        <v>70</v>
      </c>
      <c r="BG27" s="406">
        <f t="shared" si="221"/>
        <v>0</v>
      </c>
      <c r="BH27" s="400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400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400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400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94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401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94">
        <v>25</v>
      </c>
      <c r="B28" s="194">
        <v>150</v>
      </c>
      <c r="C28" s="194">
        <f t="shared" si="4"/>
        <v>1700</v>
      </c>
      <c r="D28" s="394">
        <v>25</v>
      </c>
      <c r="E28" s="194">
        <v>2623</v>
      </c>
      <c r="F28" s="194">
        <f t="shared" si="5"/>
        <v>22871</v>
      </c>
      <c r="G28" s="420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12"/>
      <c r="S28" s="399">
        <v>25</v>
      </c>
      <c r="T28" s="404">
        <v>11</v>
      </c>
      <c r="U28" s="405">
        <v>0</v>
      </c>
      <c r="V28" s="194">
        <v>44</v>
      </c>
      <c r="W28" s="194">
        <v>0</v>
      </c>
      <c r="X28" s="61">
        <v>220</v>
      </c>
      <c r="Y28" s="61">
        <v>0</v>
      </c>
      <c r="Z28" s="405">
        <v>9</v>
      </c>
      <c r="AA28" s="405">
        <v>0</v>
      </c>
      <c r="AB28" s="194">
        <v>45</v>
      </c>
      <c r="AC28" s="194">
        <v>0</v>
      </c>
      <c r="AD28" s="213">
        <v>14</v>
      </c>
      <c r="AE28" s="194">
        <v>0</v>
      </c>
      <c r="AF28" s="405">
        <v>56</v>
      </c>
      <c r="AG28" s="405">
        <v>0</v>
      </c>
      <c r="AH28" s="194">
        <v>280</v>
      </c>
      <c r="AI28" s="194">
        <v>0</v>
      </c>
      <c r="AJ28" s="61">
        <v>14</v>
      </c>
      <c r="AK28" s="61">
        <v>0</v>
      </c>
      <c r="AL28" s="408">
        <f t="shared" ref="AL28:AM28" si="229">AJ28*5</f>
        <v>70</v>
      </c>
      <c r="AM28" s="408">
        <f t="shared" si="229"/>
        <v>0</v>
      </c>
      <c r="AN28" s="405">
        <v>14</v>
      </c>
      <c r="AO28" s="405">
        <v>0</v>
      </c>
      <c r="AP28" s="405">
        <v>70</v>
      </c>
      <c r="AQ28" s="405">
        <v>0</v>
      </c>
      <c r="AR28" s="405">
        <v>350</v>
      </c>
      <c r="AS28" s="405">
        <v>0</v>
      </c>
      <c r="AT28" s="405">
        <v>14</v>
      </c>
      <c r="AU28" s="405">
        <v>0</v>
      </c>
      <c r="AV28" s="418">
        <v>70</v>
      </c>
      <c r="AW28" s="419">
        <v>0</v>
      </c>
      <c r="AX28" s="213">
        <v>14</v>
      </c>
      <c r="AY28" s="194">
        <v>0</v>
      </c>
      <c r="AZ28" s="405">
        <v>70</v>
      </c>
      <c r="BA28" s="405">
        <v>0</v>
      </c>
      <c r="BB28" s="405">
        <v>350</v>
      </c>
      <c r="BC28" s="405">
        <v>0</v>
      </c>
      <c r="BD28" s="405">
        <v>14</v>
      </c>
      <c r="BE28" s="405">
        <v>0</v>
      </c>
      <c r="BF28" s="405">
        <f t="shared" ref="BF28:BG28" si="230">BD28*5</f>
        <v>70</v>
      </c>
      <c r="BG28" s="406">
        <f t="shared" si="230"/>
        <v>0</v>
      </c>
      <c r="BH28" s="400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400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400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400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94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401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94">
        <v>26</v>
      </c>
      <c r="B29" s="194">
        <v>160</v>
      </c>
      <c r="C29" s="194">
        <f t="shared" si="4"/>
        <v>1860</v>
      </c>
      <c r="D29" s="394">
        <v>26</v>
      </c>
      <c r="E29" s="194">
        <v>2847</v>
      </c>
      <c r="F29" s="194">
        <f t="shared" si="5"/>
        <v>25718</v>
      </c>
      <c r="G29" s="420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12"/>
      <c r="S29" s="399">
        <v>26</v>
      </c>
      <c r="T29" s="404">
        <v>11</v>
      </c>
      <c r="U29" s="405">
        <v>0</v>
      </c>
      <c r="V29" s="194">
        <v>44</v>
      </c>
      <c r="W29" s="194">
        <v>0</v>
      </c>
      <c r="X29" s="405">
        <v>220</v>
      </c>
      <c r="Y29" s="405">
        <v>0</v>
      </c>
      <c r="Z29" s="405">
        <v>9</v>
      </c>
      <c r="AA29" s="405">
        <v>0</v>
      </c>
      <c r="AB29" s="405">
        <v>45</v>
      </c>
      <c r="AC29" s="405">
        <v>0</v>
      </c>
      <c r="AD29" s="213">
        <v>14</v>
      </c>
      <c r="AE29" s="194">
        <v>0</v>
      </c>
      <c r="AF29" s="405">
        <v>60</v>
      </c>
      <c r="AG29" s="405">
        <v>0</v>
      </c>
      <c r="AH29" s="194">
        <v>300</v>
      </c>
      <c r="AI29" s="194">
        <v>0</v>
      </c>
      <c r="AJ29" s="61">
        <v>14</v>
      </c>
      <c r="AK29" s="61">
        <v>0</v>
      </c>
      <c r="AL29" s="408">
        <f t="shared" ref="AL29:AM29" si="238">AJ29*5</f>
        <v>70</v>
      </c>
      <c r="AM29" s="408">
        <f t="shared" si="238"/>
        <v>0</v>
      </c>
      <c r="AN29" s="405">
        <v>14</v>
      </c>
      <c r="AO29" s="405">
        <v>0</v>
      </c>
      <c r="AP29" s="405">
        <v>70</v>
      </c>
      <c r="AQ29" s="405">
        <v>0</v>
      </c>
      <c r="AR29" s="405">
        <v>350</v>
      </c>
      <c r="AS29" s="405">
        <v>0</v>
      </c>
      <c r="AT29" s="405">
        <v>14</v>
      </c>
      <c r="AU29" s="405">
        <v>0</v>
      </c>
      <c r="AV29" s="418">
        <v>70</v>
      </c>
      <c r="AW29" s="419">
        <v>0</v>
      </c>
      <c r="AX29" s="213">
        <v>14</v>
      </c>
      <c r="AY29" s="194">
        <v>0</v>
      </c>
      <c r="AZ29" s="405">
        <v>70</v>
      </c>
      <c r="BA29" s="405">
        <v>0</v>
      </c>
      <c r="BB29" s="405">
        <v>350</v>
      </c>
      <c r="BC29" s="405">
        <v>0</v>
      </c>
      <c r="BD29" s="405">
        <v>14</v>
      </c>
      <c r="BE29" s="405">
        <v>0</v>
      </c>
      <c r="BF29" s="405">
        <f t="shared" ref="BF29:BG29" si="239">BD29*5</f>
        <v>70</v>
      </c>
      <c r="BG29" s="406">
        <f t="shared" si="239"/>
        <v>0</v>
      </c>
      <c r="BH29" s="400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400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400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400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94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401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94">
        <v>27</v>
      </c>
      <c r="B30" s="194">
        <v>170</v>
      </c>
      <c r="C30" s="194">
        <f t="shared" si="4"/>
        <v>2030</v>
      </c>
      <c r="D30" s="394">
        <v>27</v>
      </c>
      <c r="E30" s="194">
        <v>3082</v>
      </c>
      <c r="F30" s="194">
        <f t="shared" si="5"/>
        <v>28800</v>
      </c>
      <c r="G30" s="420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12"/>
      <c r="S30" s="399">
        <v>27</v>
      </c>
      <c r="T30" s="404">
        <v>11</v>
      </c>
      <c r="U30" s="405">
        <v>0</v>
      </c>
      <c r="V30" s="194">
        <v>44</v>
      </c>
      <c r="W30" s="194">
        <v>0</v>
      </c>
      <c r="X30" s="405">
        <v>220</v>
      </c>
      <c r="Y30" s="405">
        <v>0</v>
      </c>
      <c r="Z30" s="405">
        <v>9</v>
      </c>
      <c r="AA30" s="405">
        <v>0</v>
      </c>
      <c r="AB30" s="194">
        <v>45</v>
      </c>
      <c r="AC30" s="194">
        <v>0</v>
      </c>
      <c r="AD30" s="213">
        <v>14</v>
      </c>
      <c r="AE30" s="194">
        <v>0</v>
      </c>
      <c r="AF30" s="405">
        <v>60</v>
      </c>
      <c r="AG30" s="405">
        <v>0</v>
      </c>
      <c r="AH30" s="194">
        <v>300</v>
      </c>
      <c r="AI30" s="194">
        <v>0</v>
      </c>
      <c r="AJ30" s="61">
        <v>14</v>
      </c>
      <c r="AK30" s="61">
        <v>0</v>
      </c>
      <c r="AL30" s="408">
        <f t="shared" ref="AL30:AM30" si="247">AJ30*5</f>
        <v>70</v>
      </c>
      <c r="AM30" s="408">
        <f t="shared" si="247"/>
        <v>0</v>
      </c>
      <c r="AN30" s="405">
        <v>14</v>
      </c>
      <c r="AO30" s="405">
        <v>0</v>
      </c>
      <c r="AP30" s="405">
        <v>70</v>
      </c>
      <c r="AQ30" s="405">
        <v>0</v>
      </c>
      <c r="AR30" s="405">
        <v>350</v>
      </c>
      <c r="AS30" s="405">
        <v>0</v>
      </c>
      <c r="AT30" s="405">
        <v>14</v>
      </c>
      <c r="AU30" s="405">
        <v>0</v>
      </c>
      <c r="AV30" s="418">
        <v>70</v>
      </c>
      <c r="AW30" s="419">
        <v>0</v>
      </c>
      <c r="AX30" s="213">
        <v>14</v>
      </c>
      <c r="AY30" s="194">
        <v>0</v>
      </c>
      <c r="AZ30" s="405">
        <v>70</v>
      </c>
      <c r="BA30" s="405">
        <v>0</v>
      </c>
      <c r="BB30" s="405">
        <v>350</v>
      </c>
      <c r="BC30" s="405">
        <v>0</v>
      </c>
      <c r="BD30" s="405">
        <v>14</v>
      </c>
      <c r="BE30" s="405">
        <v>0</v>
      </c>
      <c r="BF30" s="405">
        <f t="shared" ref="BF30:BG30" si="248">BD30*5</f>
        <v>70</v>
      </c>
      <c r="BG30" s="406">
        <f t="shared" si="248"/>
        <v>0</v>
      </c>
      <c r="BH30" s="400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400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400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400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94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401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94">
        <v>28</v>
      </c>
      <c r="B31" s="194">
        <v>180</v>
      </c>
      <c r="C31" s="194">
        <f t="shared" si="4"/>
        <v>2210</v>
      </c>
      <c r="D31" s="394">
        <v>28</v>
      </c>
      <c r="E31" s="194">
        <v>3326</v>
      </c>
      <c r="F31" s="194">
        <f t="shared" si="5"/>
        <v>32126</v>
      </c>
      <c r="G31" s="421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21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12"/>
      <c r="S31" s="399">
        <v>28</v>
      </c>
      <c r="T31" s="404">
        <v>12</v>
      </c>
      <c r="U31" s="405">
        <v>0</v>
      </c>
      <c r="V31" s="194">
        <v>48</v>
      </c>
      <c r="W31" s="194">
        <v>0</v>
      </c>
      <c r="X31" s="405">
        <v>240</v>
      </c>
      <c r="Y31" s="405">
        <v>0</v>
      </c>
      <c r="Z31" s="194">
        <v>10</v>
      </c>
      <c r="AA31" s="194">
        <v>0</v>
      </c>
      <c r="AB31" s="405">
        <v>50</v>
      </c>
      <c r="AC31" s="405">
        <v>0</v>
      </c>
      <c r="AD31" s="213">
        <v>16</v>
      </c>
      <c r="AE31" s="194">
        <v>0</v>
      </c>
      <c r="AF31" s="405">
        <v>64</v>
      </c>
      <c r="AG31" s="405">
        <v>0</v>
      </c>
      <c r="AH31" s="194">
        <v>320</v>
      </c>
      <c r="AI31" s="194">
        <v>0</v>
      </c>
      <c r="AJ31" s="61">
        <v>14</v>
      </c>
      <c r="AK31" s="61">
        <v>0</v>
      </c>
      <c r="AL31" s="408">
        <f t="shared" ref="AL31:AM31" si="256">AJ31*5</f>
        <v>70</v>
      </c>
      <c r="AM31" s="408">
        <f t="shared" si="256"/>
        <v>0</v>
      </c>
      <c r="AN31" s="405">
        <v>16</v>
      </c>
      <c r="AO31" s="405">
        <v>0</v>
      </c>
      <c r="AP31" s="405">
        <v>80</v>
      </c>
      <c r="AQ31" s="405">
        <v>0</v>
      </c>
      <c r="AR31" s="405">
        <v>400</v>
      </c>
      <c r="AS31" s="405">
        <v>0</v>
      </c>
      <c r="AT31" s="405">
        <v>16</v>
      </c>
      <c r="AU31" s="405">
        <v>0</v>
      </c>
      <c r="AV31" s="418">
        <v>80</v>
      </c>
      <c r="AW31" s="419">
        <v>0</v>
      </c>
      <c r="AX31" s="213">
        <v>16</v>
      </c>
      <c r="AY31" s="194">
        <v>0</v>
      </c>
      <c r="AZ31" s="405">
        <v>80</v>
      </c>
      <c r="BA31" s="405">
        <v>0</v>
      </c>
      <c r="BB31" s="194">
        <v>400</v>
      </c>
      <c r="BC31" s="194">
        <v>0</v>
      </c>
      <c r="BD31" s="405">
        <v>16</v>
      </c>
      <c r="BE31" s="405">
        <v>0</v>
      </c>
      <c r="BF31" s="405">
        <f t="shared" ref="BF31:BG31" si="257">BD31*5</f>
        <v>80</v>
      </c>
      <c r="BG31" s="406">
        <f t="shared" si="257"/>
        <v>0</v>
      </c>
      <c r="BH31" s="400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400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400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400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94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401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94">
        <v>29</v>
      </c>
      <c r="B32" s="194">
        <v>190</v>
      </c>
      <c r="C32" s="194">
        <f t="shared" si="4"/>
        <v>2400</v>
      </c>
      <c r="D32" s="394">
        <v>29</v>
      </c>
      <c r="E32" s="194">
        <v>3581</v>
      </c>
      <c r="F32" s="194">
        <f t="shared" si="5"/>
        <v>35707</v>
      </c>
      <c r="G32" s="421" t="s">
        <v>374</v>
      </c>
      <c r="H32" s="422">
        <v>158000</v>
      </c>
      <c r="I32" s="422">
        <f t="shared" si="6"/>
        <v>1265880</v>
      </c>
      <c r="J32" s="422">
        <v>20000</v>
      </c>
      <c r="K32" s="422">
        <f t="shared" si="7"/>
        <v>154704</v>
      </c>
      <c r="L32" s="421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12"/>
      <c r="S32" s="399">
        <v>29</v>
      </c>
      <c r="T32" s="404">
        <v>12</v>
      </c>
      <c r="U32" s="405">
        <v>0</v>
      </c>
      <c r="V32" s="194">
        <v>48</v>
      </c>
      <c r="W32" s="194">
        <v>0</v>
      </c>
      <c r="X32" s="405">
        <v>240</v>
      </c>
      <c r="Y32" s="405">
        <v>0</v>
      </c>
      <c r="Z32" s="405">
        <v>10</v>
      </c>
      <c r="AA32" s="405">
        <v>0</v>
      </c>
      <c r="AB32" s="405">
        <v>50</v>
      </c>
      <c r="AC32" s="405">
        <v>0</v>
      </c>
      <c r="AD32" s="213">
        <v>16</v>
      </c>
      <c r="AE32" s="194">
        <v>0</v>
      </c>
      <c r="AF32" s="405">
        <v>68</v>
      </c>
      <c r="AG32" s="405">
        <v>0</v>
      </c>
      <c r="AH32" s="194">
        <v>340</v>
      </c>
      <c r="AI32" s="194">
        <v>0</v>
      </c>
      <c r="AJ32" s="61">
        <v>16</v>
      </c>
      <c r="AK32" s="61">
        <v>0</v>
      </c>
      <c r="AL32" s="408">
        <f t="shared" ref="AL32:AM32" si="265">AJ32*5</f>
        <v>80</v>
      </c>
      <c r="AM32" s="408">
        <f t="shared" si="265"/>
        <v>0</v>
      </c>
      <c r="AN32" s="405">
        <v>16</v>
      </c>
      <c r="AO32" s="405">
        <v>0</v>
      </c>
      <c r="AP32" s="405">
        <v>80</v>
      </c>
      <c r="AQ32" s="405">
        <v>0</v>
      </c>
      <c r="AR32" s="194">
        <v>400</v>
      </c>
      <c r="AS32" s="194">
        <v>0</v>
      </c>
      <c r="AT32" s="405">
        <v>16</v>
      </c>
      <c r="AU32" s="405">
        <v>0</v>
      </c>
      <c r="AV32" s="418">
        <v>80</v>
      </c>
      <c r="AW32" s="419">
        <v>0</v>
      </c>
      <c r="AX32" s="213">
        <v>16</v>
      </c>
      <c r="AY32" s="194">
        <v>0</v>
      </c>
      <c r="AZ32" s="405">
        <v>80</v>
      </c>
      <c r="BA32" s="405">
        <v>0</v>
      </c>
      <c r="BB32" s="405">
        <v>400</v>
      </c>
      <c r="BC32" s="405">
        <v>0</v>
      </c>
      <c r="BD32" s="405">
        <v>16</v>
      </c>
      <c r="BE32" s="405">
        <v>0</v>
      </c>
      <c r="BF32" s="405">
        <f t="shared" ref="BF32:BG32" si="266">BD32*5</f>
        <v>80</v>
      </c>
      <c r="BG32" s="406">
        <f t="shared" si="266"/>
        <v>0</v>
      </c>
      <c r="BH32" s="400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400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400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400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94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401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94">
        <v>30</v>
      </c>
      <c r="B33" s="194">
        <v>200</v>
      </c>
      <c r="C33" s="194">
        <f t="shared" si="4"/>
        <v>2600</v>
      </c>
      <c r="D33" s="394">
        <v>30</v>
      </c>
      <c r="E33" s="194">
        <v>3847</v>
      </c>
      <c r="F33" s="194">
        <f t="shared" si="5"/>
        <v>39554</v>
      </c>
      <c r="G33" s="421" t="s">
        <v>376</v>
      </c>
      <c r="H33" s="422">
        <v>0</v>
      </c>
      <c r="I33" s="422">
        <f t="shared" si="6"/>
        <v>1265880</v>
      </c>
      <c r="J33" s="422"/>
      <c r="K33" s="422">
        <f t="shared" si="7"/>
        <v>154704</v>
      </c>
      <c r="L33" s="421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12"/>
      <c r="S33" s="399">
        <v>30</v>
      </c>
      <c r="T33" s="404">
        <v>12</v>
      </c>
      <c r="U33" s="405">
        <v>1</v>
      </c>
      <c r="V33" s="194">
        <v>48</v>
      </c>
      <c r="W33" s="194">
        <v>4</v>
      </c>
      <c r="X33" s="194">
        <v>240</v>
      </c>
      <c r="Y33" s="194">
        <v>20</v>
      </c>
      <c r="Z33" s="410">
        <v>10</v>
      </c>
      <c r="AA33" s="410">
        <v>1</v>
      </c>
      <c r="AB33" s="410">
        <v>50</v>
      </c>
      <c r="AC33" s="410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08">
        <f t="shared" ref="AL33:AM33" si="274">AJ33*5</f>
        <v>80</v>
      </c>
      <c r="AM33" s="408">
        <f t="shared" si="274"/>
        <v>5</v>
      </c>
      <c r="AN33" s="405">
        <v>16</v>
      </c>
      <c r="AO33" s="405">
        <v>1</v>
      </c>
      <c r="AP33" s="194">
        <v>80</v>
      </c>
      <c r="AQ33" s="194">
        <v>5</v>
      </c>
      <c r="AR33" s="405">
        <v>400</v>
      </c>
      <c r="AS33" s="405">
        <v>25</v>
      </c>
      <c r="AT33" s="405">
        <v>16</v>
      </c>
      <c r="AU33" s="405">
        <v>1</v>
      </c>
      <c r="AV33" s="418">
        <v>80</v>
      </c>
      <c r="AW33" s="419">
        <v>5</v>
      </c>
      <c r="AX33" s="213">
        <v>16</v>
      </c>
      <c r="AY33" s="194">
        <v>1</v>
      </c>
      <c r="AZ33" s="405">
        <v>80</v>
      </c>
      <c r="BA33" s="405">
        <v>5</v>
      </c>
      <c r="BB33" s="405">
        <v>400</v>
      </c>
      <c r="BC33" s="405">
        <v>25</v>
      </c>
      <c r="BD33" s="194">
        <v>16</v>
      </c>
      <c r="BE33" s="194">
        <v>1</v>
      </c>
      <c r="BF33" s="405">
        <f t="shared" ref="BF33:BG33" si="275">BD33*5</f>
        <v>80</v>
      </c>
      <c r="BG33" s="406">
        <f t="shared" si="275"/>
        <v>5</v>
      </c>
      <c r="BH33" s="400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400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400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400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94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8">
        <v>30</v>
      </c>
      <c r="DI33" s="269">
        <v>62500</v>
      </c>
      <c r="DJ33" s="270">
        <v>125000</v>
      </c>
      <c r="DK33" s="271">
        <v>250000</v>
      </c>
      <c r="DL33" s="268">
        <v>30</v>
      </c>
      <c r="DM33" s="269">
        <v>125000</v>
      </c>
      <c r="DN33" s="270">
        <v>187500</v>
      </c>
      <c r="DO33" s="271">
        <v>375000</v>
      </c>
      <c r="DP33" s="272">
        <v>30</v>
      </c>
      <c r="DQ33" s="270">
        <v>250000</v>
      </c>
      <c r="DR33" s="271">
        <v>500000</v>
      </c>
      <c r="DS33" s="268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401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94">
        <v>31</v>
      </c>
      <c r="B34" s="194">
        <v>210</v>
      </c>
      <c r="C34" s="194">
        <f t="shared" si="4"/>
        <v>2810</v>
      </c>
      <c r="D34" s="394">
        <v>31</v>
      </c>
      <c r="E34" s="194">
        <v>4123</v>
      </c>
      <c r="F34" s="194">
        <f t="shared" si="5"/>
        <v>43677</v>
      </c>
      <c r="G34" s="421" t="s">
        <v>378</v>
      </c>
      <c r="H34" s="422">
        <v>0</v>
      </c>
      <c r="I34" s="422">
        <f t="shared" si="6"/>
        <v>1265880</v>
      </c>
      <c r="J34" s="422"/>
      <c r="K34" s="422">
        <f t="shared" si="7"/>
        <v>154704</v>
      </c>
      <c r="L34" s="421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12"/>
      <c r="S34" s="399">
        <v>31</v>
      </c>
      <c r="T34" s="404">
        <v>14</v>
      </c>
      <c r="U34" s="405">
        <v>2</v>
      </c>
      <c r="V34" s="194">
        <v>56</v>
      </c>
      <c r="W34" s="194">
        <v>8</v>
      </c>
      <c r="X34" s="194">
        <v>280</v>
      </c>
      <c r="Y34" s="194">
        <v>40</v>
      </c>
      <c r="Z34" s="410">
        <v>11</v>
      </c>
      <c r="AA34" s="410">
        <v>2</v>
      </c>
      <c r="AB34" s="410">
        <v>55</v>
      </c>
      <c r="AC34" s="410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08">
        <f t="shared" ref="AL34:AM34" si="283">AJ34*5</f>
        <v>90</v>
      </c>
      <c r="AM34" s="408">
        <f t="shared" si="283"/>
        <v>5</v>
      </c>
      <c r="AN34" s="405">
        <v>18</v>
      </c>
      <c r="AO34" s="405">
        <v>2</v>
      </c>
      <c r="AP34" s="405">
        <v>90</v>
      </c>
      <c r="AQ34" s="405">
        <v>10</v>
      </c>
      <c r="AR34" s="405">
        <v>450</v>
      </c>
      <c r="AS34" s="405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405">
        <v>90</v>
      </c>
      <c r="BA34" s="405">
        <v>10</v>
      </c>
      <c r="BB34" s="405">
        <v>450</v>
      </c>
      <c r="BC34" s="405">
        <v>50</v>
      </c>
      <c r="BD34" s="405">
        <v>18</v>
      </c>
      <c r="BE34" s="405">
        <v>2</v>
      </c>
      <c r="BF34" s="405">
        <f t="shared" ref="BF34:BG34" si="284">BD34*5</f>
        <v>90</v>
      </c>
      <c r="BG34" s="406">
        <f t="shared" si="284"/>
        <v>10</v>
      </c>
      <c r="BH34" s="400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400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400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400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94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8">
        <v>31</v>
      </c>
      <c r="DI34" s="269">
        <v>65000</v>
      </c>
      <c r="DJ34" s="270">
        <v>130000</v>
      </c>
      <c r="DK34" s="271">
        <v>260000</v>
      </c>
      <c r="DL34" s="268">
        <v>31</v>
      </c>
      <c r="DM34" s="269">
        <v>130000</v>
      </c>
      <c r="DN34" s="270">
        <v>195000</v>
      </c>
      <c r="DO34" s="271">
        <v>390000</v>
      </c>
      <c r="DP34" s="272">
        <v>31</v>
      </c>
      <c r="DQ34" s="270">
        <v>260000</v>
      </c>
      <c r="DR34" s="271">
        <v>520000</v>
      </c>
      <c r="DS34" s="268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401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94">
        <v>32</v>
      </c>
      <c r="B35" s="194">
        <v>220</v>
      </c>
      <c r="C35" s="194">
        <f t="shared" si="4"/>
        <v>3030</v>
      </c>
      <c r="D35" s="394">
        <v>32</v>
      </c>
      <c r="E35" s="194">
        <v>4409</v>
      </c>
      <c r="F35" s="194">
        <f t="shared" si="5"/>
        <v>48086</v>
      </c>
      <c r="G35" s="421" t="s">
        <v>380</v>
      </c>
      <c r="H35" s="422">
        <v>0</v>
      </c>
      <c r="I35" s="422">
        <f t="shared" si="6"/>
        <v>1265880</v>
      </c>
      <c r="J35" s="422"/>
      <c r="K35" s="422">
        <f t="shared" si="7"/>
        <v>154704</v>
      </c>
      <c r="L35" s="421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12"/>
      <c r="S35" s="399">
        <v>32</v>
      </c>
      <c r="T35" s="404">
        <v>14</v>
      </c>
      <c r="U35" s="405">
        <v>2</v>
      </c>
      <c r="V35" s="194">
        <v>56</v>
      </c>
      <c r="W35" s="194">
        <v>8</v>
      </c>
      <c r="X35" s="405">
        <v>280</v>
      </c>
      <c r="Y35" s="405">
        <v>40</v>
      </c>
      <c r="Z35" s="410">
        <v>11</v>
      </c>
      <c r="AA35" s="410">
        <v>2</v>
      </c>
      <c r="AB35" s="410">
        <v>55</v>
      </c>
      <c r="AC35" s="410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08">
        <f t="shared" ref="AL35:AM35" si="292">AJ35*5</f>
        <v>90</v>
      </c>
      <c r="AM35" s="408">
        <f t="shared" si="292"/>
        <v>10</v>
      </c>
      <c r="AN35" s="405">
        <v>18</v>
      </c>
      <c r="AO35" s="405">
        <v>2</v>
      </c>
      <c r="AP35" s="405">
        <v>90</v>
      </c>
      <c r="AQ35" s="405">
        <v>10</v>
      </c>
      <c r="AR35" s="405">
        <v>450</v>
      </c>
      <c r="AS35" s="405">
        <v>50</v>
      </c>
      <c r="AT35" s="194">
        <v>18</v>
      </c>
      <c r="AU35" s="194">
        <v>2</v>
      </c>
      <c r="AV35" s="418">
        <v>90</v>
      </c>
      <c r="AW35" s="419">
        <v>10</v>
      </c>
      <c r="AX35" s="213">
        <v>18</v>
      </c>
      <c r="AY35" s="194">
        <v>2</v>
      </c>
      <c r="AZ35" s="405">
        <v>90</v>
      </c>
      <c r="BA35" s="405">
        <v>10</v>
      </c>
      <c r="BB35" s="405">
        <v>450</v>
      </c>
      <c r="BC35" s="405">
        <v>50</v>
      </c>
      <c r="BD35" s="405">
        <v>18</v>
      </c>
      <c r="BE35" s="405">
        <v>2</v>
      </c>
      <c r="BF35" s="405">
        <f t="shared" ref="BF35:BG35" si="293">BD35*5</f>
        <v>90</v>
      </c>
      <c r="BG35" s="406">
        <f t="shared" si="293"/>
        <v>10</v>
      </c>
      <c r="BH35" s="400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400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400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400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94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8">
        <v>32</v>
      </c>
      <c r="DI35" s="269">
        <v>67500</v>
      </c>
      <c r="DJ35" s="270">
        <v>135000</v>
      </c>
      <c r="DK35" s="271">
        <v>270000</v>
      </c>
      <c r="DL35" s="268">
        <v>32</v>
      </c>
      <c r="DM35" s="269">
        <v>135000</v>
      </c>
      <c r="DN35" s="270">
        <v>202500</v>
      </c>
      <c r="DO35" s="271">
        <v>405000</v>
      </c>
      <c r="DP35" s="272">
        <v>32</v>
      </c>
      <c r="DQ35" s="270">
        <v>270000</v>
      </c>
      <c r="DR35" s="271">
        <v>540000</v>
      </c>
      <c r="DS35" s="268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401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94">
        <v>33</v>
      </c>
      <c r="B36" s="194">
        <v>230</v>
      </c>
      <c r="C36" s="194">
        <f t="shared" si="4"/>
        <v>3260</v>
      </c>
      <c r="D36" s="394">
        <v>33</v>
      </c>
      <c r="E36" s="194">
        <v>4706</v>
      </c>
      <c r="F36" s="194">
        <f t="shared" si="5"/>
        <v>52792</v>
      </c>
      <c r="G36" s="421" t="s">
        <v>382</v>
      </c>
      <c r="H36" s="422">
        <v>0</v>
      </c>
      <c r="I36" s="422">
        <f t="shared" si="6"/>
        <v>1265880</v>
      </c>
      <c r="J36" s="422"/>
      <c r="K36" s="422">
        <f t="shared" si="7"/>
        <v>154704</v>
      </c>
      <c r="L36" s="421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12"/>
      <c r="S36" s="399">
        <v>33</v>
      </c>
      <c r="T36" s="404">
        <v>15</v>
      </c>
      <c r="U36" s="405">
        <v>2</v>
      </c>
      <c r="V36" s="194">
        <v>60</v>
      </c>
      <c r="W36" s="194">
        <v>8</v>
      </c>
      <c r="X36" s="405">
        <v>300</v>
      </c>
      <c r="Y36" s="405">
        <v>40</v>
      </c>
      <c r="Z36" s="61">
        <v>12</v>
      </c>
      <c r="AA36" s="61">
        <v>2</v>
      </c>
      <c r="AB36" s="410">
        <v>60</v>
      </c>
      <c r="AC36" s="410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08">
        <f t="shared" ref="AL36:AM36" si="301">AJ36*5</f>
        <v>100</v>
      </c>
      <c r="AM36" s="408">
        <f t="shared" si="301"/>
        <v>10</v>
      </c>
      <c r="AN36" s="405">
        <v>20</v>
      </c>
      <c r="AO36" s="405">
        <v>2</v>
      </c>
      <c r="AP36" s="405">
        <v>100</v>
      </c>
      <c r="AQ36" s="405">
        <v>10</v>
      </c>
      <c r="AR36" s="194">
        <v>500</v>
      </c>
      <c r="AS36" s="194">
        <v>50</v>
      </c>
      <c r="AT36" s="194">
        <v>20</v>
      </c>
      <c r="AU36" s="194">
        <v>2</v>
      </c>
      <c r="AV36" s="418">
        <v>100</v>
      </c>
      <c r="AW36" s="419">
        <v>10</v>
      </c>
      <c r="AX36" s="213">
        <v>20</v>
      </c>
      <c r="AY36" s="194">
        <v>2</v>
      </c>
      <c r="AZ36" s="405">
        <v>100</v>
      </c>
      <c r="BA36" s="405">
        <v>10</v>
      </c>
      <c r="BB36" s="405">
        <v>500</v>
      </c>
      <c r="BC36" s="405">
        <v>50</v>
      </c>
      <c r="BD36" s="405">
        <v>20</v>
      </c>
      <c r="BE36" s="405">
        <v>2</v>
      </c>
      <c r="BF36" s="405">
        <f t="shared" ref="BF36:BG36" si="302">BD36*5</f>
        <v>100</v>
      </c>
      <c r="BG36" s="406">
        <f t="shared" si="302"/>
        <v>10</v>
      </c>
      <c r="BH36" s="400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400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400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400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94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8">
        <v>33</v>
      </c>
      <c r="DI36" s="269">
        <v>70000</v>
      </c>
      <c r="DJ36" s="270">
        <v>140000</v>
      </c>
      <c r="DK36" s="271">
        <v>280000</v>
      </c>
      <c r="DL36" s="268">
        <v>33</v>
      </c>
      <c r="DM36" s="269">
        <v>140000</v>
      </c>
      <c r="DN36" s="270">
        <v>210000</v>
      </c>
      <c r="DO36" s="271">
        <v>420000</v>
      </c>
      <c r="DP36" s="272">
        <v>33</v>
      </c>
      <c r="DQ36" s="270">
        <v>280000</v>
      </c>
      <c r="DR36" s="271">
        <v>560000</v>
      </c>
      <c r="DS36" s="268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401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94">
        <v>34</v>
      </c>
      <c r="B37" s="194">
        <v>240</v>
      </c>
      <c r="C37" s="194">
        <f t="shared" si="4"/>
        <v>3500</v>
      </c>
      <c r="D37" s="394">
        <v>34</v>
      </c>
      <c r="E37" s="194">
        <v>5013</v>
      </c>
      <c r="F37" s="194">
        <f t="shared" si="5"/>
        <v>57805</v>
      </c>
      <c r="G37" s="194"/>
      <c r="H37" s="422">
        <v>0</v>
      </c>
      <c r="I37" s="422">
        <f t="shared" si="6"/>
        <v>1265880</v>
      </c>
      <c r="J37" s="422"/>
      <c r="K37" s="422">
        <f t="shared" si="7"/>
        <v>154704</v>
      </c>
      <c r="L37" s="421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12"/>
      <c r="S37" s="399">
        <v>34</v>
      </c>
      <c r="T37" s="404">
        <v>15</v>
      </c>
      <c r="U37" s="405">
        <v>2</v>
      </c>
      <c r="V37" s="194">
        <v>60</v>
      </c>
      <c r="W37" s="194">
        <v>8</v>
      </c>
      <c r="X37" s="405">
        <v>300</v>
      </c>
      <c r="Y37" s="405">
        <v>40</v>
      </c>
      <c r="Z37" s="410">
        <v>12</v>
      </c>
      <c r="AA37" s="410">
        <v>2</v>
      </c>
      <c r="AB37" s="410">
        <v>60</v>
      </c>
      <c r="AC37" s="410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08">
        <f t="shared" ref="AL37:AM37" si="310">AJ37*5</f>
        <v>100</v>
      </c>
      <c r="AM37" s="408">
        <f t="shared" si="310"/>
        <v>10</v>
      </c>
      <c r="AN37" s="405">
        <v>20</v>
      </c>
      <c r="AO37" s="405">
        <v>2</v>
      </c>
      <c r="AP37" s="405">
        <v>100</v>
      </c>
      <c r="AQ37" s="405">
        <v>10</v>
      </c>
      <c r="AR37" s="405">
        <v>500</v>
      </c>
      <c r="AS37" s="405">
        <v>50</v>
      </c>
      <c r="AT37" s="194">
        <v>20</v>
      </c>
      <c r="AU37" s="194">
        <v>2</v>
      </c>
      <c r="AV37" s="418">
        <v>100</v>
      </c>
      <c r="AW37" s="419">
        <v>10</v>
      </c>
      <c r="AX37" s="213">
        <v>20</v>
      </c>
      <c r="AY37" s="194">
        <v>2</v>
      </c>
      <c r="AZ37" s="405">
        <v>100</v>
      </c>
      <c r="BA37" s="405">
        <v>10</v>
      </c>
      <c r="BB37" s="405">
        <v>500</v>
      </c>
      <c r="BC37" s="405">
        <v>50</v>
      </c>
      <c r="BD37" s="405">
        <v>20</v>
      </c>
      <c r="BE37" s="405">
        <v>2</v>
      </c>
      <c r="BF37" s="405">
        <f t="shared" ref="BF37:BG37" si="311">BD37*5</f>
        <v>100</v>
      </c>
      <c r="BG37" s="406">
        <f t="shared" si="311"/>
        <v>10</v>
      </c>
      <c r="BH37" s="400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400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400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400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94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8">
        <v>34</v>
      </c>
      <c r="DI37" s="269">
        <v>72500</v>
      </c>
      <c r="DJ37" s="270">
        <v>145000</v>
      </c>
      <c r="DK37" s="271">
        <v>290000</v>
      </c>
      <c r="DL37" s="268">
        <v>34</v>
      </c>
      <c r="DM37" s="269">
        <v>145000</v>
      </c>
      <c r="DN37" s="270">
        <v>217500</v>
      </c>
      <c r="DO37" s="271">
        <v>435000</v>
      </c>
      <c r="DP37" s="272">
        <v>34</v>
      </c>
      <c r="DQ37" s="270">
        <v>290000</v>
      </c>
      <c r="DR37" s="271">
        <v>580000</v>
      </c>
      <c r="DS37" s="268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401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94">
        <v>35</v>
      </c>
      <c r="B38" s="194">
        <v>250</v>
      </c>
      <c r="C38" s="194">
        <f t="shared" si="4"/>
        <v>3750</v>
      </c>
      <c r="D38" s="394">
        <v>35</v>
      </c>
      <c r="E38" s="194">
        <v>5332</v>
      </c>
      <c r="F38" s="194">
        <f t="shared" si="5"/>
        <v>63137</v>
      </c>
      <c r="G38" s="194"/>
      <c r="L38" s="421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12"/>
      <c r="S38" s="399">
        <v>35</v>
      </c>
      <c r="T38" s="213">
        <v>15</v>
      </c>
      <c r="U38" s="194">
        <v>2</v>
      </c>
      <c r="V38" s="194">
        <v>60</v>
      </c>
      <c r="W38" s="194">
        <v>8</v>
      </c>
      <c r="X38" s="405">
        <v>300</v>
      </c>
      <c r="Y38" s="405">
        <v>40</v>
      </c>
      <c r="Z38" s="410">
        <v>12</v>
      </c>
      <c r="AA38" s="410">
        <v>2</v>
      </c>
      <c r="AB38" s="410">
        <v>60</v>
      </c>
      <c r="AC38" s="410">
        <v>10</v>
      </c>
      <c r="AD38" s="213">
        <v>20</v>
      </c>
      <c r="AE38" s="194">
        <v>3</v>
      </c>
      <c r="AF38" s="410">
        <v>80</v>
      </c>
      <c r="AG38" s="410">
        <v>8</v>
      </c>
      <c r="AH38" s="410">
        <v>400</v>
      </c>
      <c r="AI38" s="410">
        <v>40</v>
      </c>
      <c r="AJ38" s="61">
        <v>25</v>
      </c>
      <c r="AK38" s="61">
        <v>3</v>
      </c>
      <c r="AL38" s="408">
        <f t="shared" ref="AL38:AM38" si="319">AJ38*5</f>
        <v>125</v>
      </c>
      <c r="AM38" s="408">
        <f t="shared" si="319"/>
        <v>15</v>
      </c>
      <c r="AN38" s="405">
        <v>20</v>
      </c>
      <c r="AO38" s="405">
        <v>3</v>
      </c>
      <c r="AP38" s="405">
        <v>100</v>
      </c>
      <c r="AQ38" s="405">
        <v>15</v>
      </c>
      <c r="AR38" s="405">
        <v>500</v>
      </c>
      <c r="AS38" s="405">
        <v>75</v>
      </c>
      <c r="AT38" s="405">
        <v>20</v>
      </c>
      <c r="AU38" s="405">
        <v>3</v>
      </c>
      <c r="AV38" s="418">
        <v>100</v>
      </c>
      <c r="AW38" s="419">
        <v>15</v>
      </c>
      <c r="AX38" s="213">
        <v>20</v>
      </c>
      <c r="AY38" s="194">
        <v>3</v>
      </c>
      <c r="AZ38" s="405">
        <v>100</v>
      </c>
      <c r="BA38" s="405">
        <v>15</v>
      </c>
      <c r="BB38" s="405">
        <v>500</v>
      </c>
      <c r="BC38" s="405">
        <v>75</v>
      </c>
      <c r="BD38" s="405">
        <v>20</v>
      </c>
      <c r="BE38" s="405">
        <v>3</v>
      </c>
      <c r="BF38" s="405">
        <f t="shared" ref="BF38:BG38" si="320">BD38*5</f>
        <v>100</v>
      </c>
      <c r="BG38" s="406">
        <f t="shared" si="320"/>
        <v>15</v>
      </c>
      <c r="BH38" s="400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400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400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400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94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73">
        <v>35</v>
      </c>
      <c r="DI38" s="274">
        <v>75000</v>
      </c>
      <c r="DJ38" s="275">
        <v>150000</v>
      </c>
      <c r="DK38" s="276">
        <v>300000</v>
      </c>
      <c r="DL38" s="273">
        <v>35</v>
      </c>
      <c r="DM38" s="274">
        <v>150000</v>
      </c>
      <c r="DN38" s="275">
        <v>225000</v>
      </c>
      <c r="DO38" s="276">
        <v>450000</v>
      </c>
      <c r="DP38" s="277">
        <v>35</v>
      </c>
      <c r="DQ38" s="275">
        <v>300000</v>
      </c>
      <c r="DR38" s="276">
        <v>600000</v>
      </c>
      <c r="DS38" s="273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401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94">
        <v>36</v>
      </c>
      <c r="B39" s="194">
        <v>260</v>
      </c>
      <c r="C39" s="194">
        <f t="shared" si="4"/>
        <v>4010</v>
      </c>
      <c r="D39" s="394">
        <v>36</v>
      </c>
      <c r="E39" s="194">
        <v>5661</v>
      </c>
      <c r="F39" s="194">
        <f t="shared" si="5"/>
        <v>68798</v>
      </c>
      <c r="G39" s="194"/>
      <c r="L39" s="421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12"/>
      <c r="S39" s="399">
        <v>36</v>
      </c>
      <c r="T39" s="213">
        <v>19</v>
      </c>
      <c r="U39" s="194">
        <v>2</v>
      </c>
      <c r="V39" s="194">
        <v>76</v>
      </c>
      <c r="W39" s="194">
        <v>8</v>
      </c>
      <c r="X39" s="405">
        <v>380</v>
      </c>
      <c r="Y39" s="405">
        <v>40</v>
      </c>
      <c r="Z39" s="410">
        <v>15</v>
      </c>
      <c r="AA39" s="410">
        <v>2</v>
      </c>
      <c r="AB39" s="410">
        <v>75</v>
      </c>
      <c r="AC39" s="410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08">
        <f t="shared" ref="AL39:AM39" si="328">AJ39*5</f>
        <v>125</v>
      </c>
      <c r="AM39" s="408">
        <f t="shared" si="328"/>
        <v>15</v>
      </c>
      <c r="AN39" s="405">
        <v>25</v>
      </c>
      <c r="AO39" s="405">
        <v>3</v>
      </c>
      <c r="AP39" s="405">
        <v>125</v>
      </c>
      <c r="AQ39" s="405">
        <v>15</v>
      </c>
      <c r="AR39" s="410">
        <v>625</v>
      </c>
      <c r="AS39" s="405">
        <v>75</v>
      </c>
      <c r="AT39" s="194">
        <v>25</v>
      </c>
      <c r="AU39" s="194">
        <v>3</v>
      </c>
      <c r="AV39" s="418">
        <v>125</v>
      </c>
      <c r="AW39" s="419">
        <v>15</v>
      </c>
      <c r="AX39" s="213">
        <v>25</v>
      </c>
      <c r="AY39" s="194">
        <v>3</v>
      </c>
      <c r="AZ39" s="405">
        <v>125</v>
      </c>
      <c r="BA39" s="405">
        <v>15</v>
      </c>
      <c r="BB39" s="405">
        <v>625</v>
      </c>
      <c r="BC39" s="405">
        <v>75</v>
      </c>
      <c r="BD39" s="405">
        <v>25</v>
      </c>
      <c r="BE39" s="405">
        <v>3</v>
      </c>
      <c r="BF39" s="194">
        <v>125</v>
      </c>
      <c r="BG39" s="215">
        <v>15</v>
      </c>
      <c r="BH39" s="400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400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400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400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94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73">
        <v>36</v>
      </c>
      <c r="DI39" s="274">
        <v>77500</v>
      </c>
      <c r="DJ39" s="275">
        <v>155000</v>
      </c>
      <c r="DK39" s="276">
        <v>310000</v>
      </c>
      <c r="DL39" s="273">
        <v>36</v>
      </c>
      <c r="DM39" s="274">
        <v>155000</v>
      </c>
      <c r="DN39" s="275">
        <v>232500</v>
      </c>
      <c r="DO39" s="276">
        <v>465000</v>
      </c>
      <c r="DP39" s="277">
        <v>36</v>
      </c>
      <c r="DQ39" s="275">
        <v>310000</v>
      </c>
      <c r="DR39" s="276">
        <v>620000</v>
      </c>
      <c r="DS39" s="273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401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94">
        <v>37</v>
      </c>
      <c r="B40" s="194">
        <v>270</v>
      </c>
      <c r="C40" s="194">
        <f t="shared" si="4"/>
        <v>4280</v>
      </c>
      <c r="D40" s="394">
        <v>37</v>
      </c>
      <c r="E40" s="194">
        <v>6000</v>
      </c>
      <c r="F40" s="194">
        <f t="shared" si="5"/>
        <v>74798</v>
      </c>
      <c r="G40" s="194"/>
      <c r="L40" s="421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12"/>
      <c r="S40" s="399">
        <v>37</v>
      </c>
      <c r="T40" s="404">
        <v>19</v>
      </c>
      <c r="U40" s="405">
        <v>3</v>
      </c>
      <c r="V40" s="194">
        <v>76</v>
      </c>
      <c r="W40" s="194">
        <v>12</v>
      </c>
      <c r="X40" s="405">
        <v>380</v>
      </c>
      <c r="Y40" s="405">
        <v>60</v>
      </c>
      <c r="Z40" s="410">
        <v>15</v>
      </c>
      <c r="AA40" s="410">
        <v>2</v>
      </c>
      <c r="AB40" s="410">
        <v>75</v>
      </c>
      <c r="AC40" s="410">
        <v>10</v>
      </c>
      <c r="AD40" s="213">
        <v>25</v>
      </c>
      <c r="AE40" s="194">
        <v>4</v>
      </c>
      <c r="AF40" s="405">
        <v>120</v>
      </c>
      <c r="AG40" s="405">
        <v>16</v>
      </c>
      <c r="AH40" s="194">
        <v>600</v>
      </c>
      <c r="AI40" s="194">
        <v>80</v>
      </c>
      <c r="AJ40" s="61">
        <v>30</v>
      </c>
      <c r="AK40" s="61">
        <v>3</v>
      </c>
      <c r="AL40" s="408">
        <f t="shared" ref="AL40:AM40" si="336">AJ40*5</f>
        <v>150</v>
      </c>
      <c r="AM40" s="408">
        <f t="shared" si="336"/>
        <v>15</v>
      </c>
      <c r="AN40" s="405">
        <v>25</v>
      </c>
      <c r="AO40" s="405">
        <v>4</v>
      </c>
      <c r="AP40" s="194">
        <v>125</v>
      </c>
      <c r="AQ40" s="194">
        <v>20</v>
      </c>
      <c r="AR40" s="61">
        <v>625</v>
      </c>
      <c r="AS40" s="61">
        <v>100</v>
      </c>
      <c r="AT40" s="405">
        <v>25</v>
      </c>
      <c r="AU40" s="405">
        <v>4</v>
      </c>
      <c r="AV40" s="418">
        <v>125</v>
      </c>
      <c r="AW40" s="419">
        <v>20</v>
      </c>
      <c r="AX40" s="213">
        <v>25</v>
      </c>
      <c r="AY40" s="194">
        <v>4</v>
      </c>
      <c r="AZ40" s="405">
        <v>125</v>
      </c>
      <c r="BA40" s="405">
        <v>20</v>
      </c>
      <c r="BB40" s="405">
        <v>625</v>
      </c>
      <c r="BC40" s="405">
        <v>100</v>
      </c>
      <c r="BD40" s="194">
        <v>25</v>
      </c>
      <c r="BE40" s="194">
        <v>4</v>
      </c>
      <c r="BF40" s="405">
        <f t="shared" ref="BF40:BG40" si="337">BD40*5</f>
        <v>125</v>
      </c>
      <c r="BG40" s="406">
        <f t="shared" si="337"/>
        <v>20</v>
      </c>
      <c r="BH40" s="400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400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400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400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94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73">
        <v>37</v>
      </c>
      <c r="DI40" s="274">
        <v>80000</v>
      </c>
      <c r="DJ40" s="275">
        <v>160000</v>
      </c>
      <c r="DK40" s="276">
        <v>320000</v>
      </c>
      <c r="DL40" s="273">
        <v>37</v>
      </c>
      <c r="DM40" s="274">
        <v>160000</v>
      </c>
      <c r="DN40" s="275">
        <v>240000</v>
      </c>
      <c r="DO40" s="276">
        <v>480000</v>
      </c>
      <c r="DP40" s="277">
        <v>37</v>
      </c>
      <c r="DQ40" s="275">
        <v>320000</v>
      </c>
      <c r="DR40" s="276">
        <v>640000</v>
      </c>
      <c r="DS40" s="273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401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94">
        <v>38</v>
      </c>
      <c r="B41" s="194">
        <v>280</v>
      </c>
      <c r="C41" s="194">
        <f t="shared" si="4"/>
        <v>4560</v>
      </c>
      <c r="D41" s="394">
        <v>38</v>
      </c>
      <c r="E41" s="194">
        <v>6351</v>
      </c>
      <c r="F41" s="194">
        <f t="shared" si="5"/>
        <v>81149</v>
      </c>
      <c r="G41" s="194"/>
      <c r="L41" s="421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12"/>
      <c r="S41" s="399">
        <v>38</v>
      </c>
      <c r="T41" s="404">
        <v>23</v>
      </c>
      <c r="U41" s="405">
        <v>3</v>
      </c>
      <c r="V41" s="194">
        <v>92</v>
      </c>
      <c r="W41" s="194">
        <v>12</v>
      </c>
      <c r="X41" s="405">
        <v>460</v>
      </c>
      <c r="Y41" s="405">
        <v>60</v>
      </c>
      <c r="Z41" s="410">
        <v>18</v>
      </c>
      <c r="AA41" s="410">
        <v>2</v>
      </c>
      <c r="AB41" s="410">
        <v>90</v>
      </c>
      <c r="AC41" s="410">
        <v>10</v>
      </c>
      <c r="AD41" s="213">
        <v>30</v>
      </c>
      <c r="AE41" s="194">
        <v>4</v>
      </c>
      <c r="AF41" s="194">
        <v>120</v>
      </c>
      <c r="AG41" s="194">
        <v>16</v>
      </c>
      <c r="AH41" s="405">
        <v>600</v>
      </c>
      <c r="AI41" s="405">
        <v>80</v>
      </c>
      <c r="AJ41" s="61">
        <v>30</v>
      </c>
      <c r="AK41" s="61">
        <v>3</v>
      </c>
      <c r="AL41" s="408">
        <f t="shared" ref="AL41:AM41" si="345">AJ41*5</f>
        <v>150</v>
      </c>
      <c r="AM41" s="408">
        <f t="shared" si="345"/>
        <v>15</v>
      </c>
      <c r="AN41" s="405">
        <v>30</v>
      </c>
      <c r="AO41" s="405">
        <v>4</v>
      </c>
      <c r="AP41" s="405">
        <v>150</v>
      </c>
      <c r="AQ41" s="405">
        <v>20</v>
      </c>
      <c r="AR41" s="405">
        <v>750</v>
      </c>
      <c r="AS41" s="405">
        <v>100</v>
      </c>
      <c r="AT41" s="194">
        <v>30</v>
      </c>
      <c r="AU41" s="194">
        <v>4</v>
      </c>
      <c r="AV41" s="418">
        <v>150</v>
      </c>
      <c r="AW41" s="419">
        <v>20</v>
      </c>
      <c r="AX41" s="213">
        <v>30</v>
      </c>
      <c r="AY41" s="194">
        <v>4</v>
      </c>
      <c r="AZ41" s="405">
        <v>150</v>
      </c>
      <c r="BA41" s="405">
        <v>20</v>
      </c>
      <c r="BB41" s="194">
        <v>750</v>
      </c>
      <c r="BC41" s="194">
        <v>100</v>
      </c>
      <c r="BD41" s="405">
        <v>30</v>
      </c>
      <c r="BE41" s="405">
        <v>4</v>
      </c>
      <c r="BF41" s="405">
        <f t="shared" ref="BF41:BG41" si="346">BD41*5</f>
        <v>150</v>
      </c>
      <c r="BG41" s="406">
        <f t="shared" si="346"/>
        <v>20</v>
      </c>
      <c r="BH41" s="400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400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400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400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94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73">
        <v>38</v>
      </c>
      <c r="DI41" s="274">
        <v>82500</v>
      </c>
      <c r="DJ41" s="275">
        <v>165000</v>
      </c>
      <c r="DK41" s="276">
        <v>330000</v>
      </c>
      <c r="DL41" s="273">
        <v>38</v>
      </c>
      <c r="DM41" s="274">
        <v>165000</v>
      </c>
      <c r="DN41" s="275">
        <v>247500</v>
      </c>
      <c r="DO41" s="276">
        <v>495000</v>
      </c>
      <c r="DP41" s="277">
        <v>38</v>
      </c>
      <c r="DQ41" s="275">
        <v>330000</v>
      </c>
      <c r="DR41" s="276">
        <v>660000</v>
      </c>
      <c r="DS41" s="273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401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94">
        <v>39</v>
      </c>
      <c r="B42" s="194">
        <v>290</v>
      </c>
      <c r="C42" s="194">
        <f t="shared" si="4"/>
        <v>4850</v>
      </c>
      <c r="D42" s="394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12"/>
      <c r="S42" s="399">
        <v>39</v>
      </c>
      <c r="T42" s="404">
        <v>26</v>
      </c>
      <c r="U42" s="405">
        <v>4</v>
      </c>
      <c r="V42" s="194">
        <v>104</v>
      </c>
      <c r="W42" s="194">
        <v>16</v>
      </c>
      <c r="X42" s="405">
        <v>520</v>
      </c>
      <c r="Y42" s="405">
        <v>80</v>
      </c>
      <c r="Z42" s="194">
        <v>21</v>
      </c>
      <c r="AA42" s="194">
        <v>3</v>
      </c>
      <c r="AB42" s="405">
        <v>105</v>
      </c>
      <c r="AC42" s="405">
        <v>15</v>
      </c>
      <c r="AD42" s="213">
        <v>35</v>
      </c>
      <c r="AE42" s="194">
        <v>5</v>
      </c>
      <c r="AF42" s="194">
        <v>140</v>
      </c>
      <c r="AG42" s="194">
        <v>20</v>
      </c>
      <c r="AH42" s="405">
        <v>700</v>
      </c>
      <c r="AI42" s="405">
        <v>100</v>
      </c>
      <c r="AJ42" s="61">
        <v>30</v>
      </c>
      <c r="AK42" s="61">
        <v>3</v>
      </c>
      <c r="AL42" s="408">
        <f t="shared" ref="AL42:AM42" si="354">AJ42*5</f>
        <v>150</v>
      </c>
      <c r="AM42" s="408">
        <f t="shared" si="354"/>
        <v>15</v>
      </c>
      <c r="AN42" s="405">
        <v>35</v>
      </c>
      <c r="AO42" s="405">
        <v>5</v>
      </c>
      <c r="AP42" s="405">
        <v>175</v>
      </c>
      <c r="AQ42" s="405">
        <v>25</v>
      </c>
      <c r="AR42" s="405">
        <v>875</v>
      </c>
      <c r="AS42" s="405">
        <v>125</v>
      </c>
      <c r="AT42" s="405">
        <v>35</v>
      </c>
      <c r="AU42" s="405">
        <v>5</v>
      </c>
      <c r="AV42" s="418">
        <v>175</v>
      </c>
      <c r="AW42" s="419">
        <v>25</v>
      </c>
      <c r="AX42" s="213">
        <v>35</v>
      </c>
      <c r="AY42" s="194">
        <v>5</v>
      </c>
      <c r="AZ42" s="405">
        <v>175</v>
      </c>
      <c r="BA42" s="405">
        <v>25</v>
      </c>
      <c r="BB42" s="405">
        <v>875</v>
      </c>
      <c r="BC42" s="405">
        <v>125</v>
      </c>
      <c r="BD42" s="405">
        <v>35</v>
      </c>
      <c r="BE42" s="405">
        <v>5</v>
      </c>
      <c r="BF42" s="405">
        <f t="shared" ref="BF42:BG42" si="355">BD42*5</f>
        <v>175</v>
      </c>
      <c r="BG42" s="406">
        <f t="shared" si="355"/>
        <v>25</v>
      </c>
      <c r="BH42" s="400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400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400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400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94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73">
        <v>39</v>
      </c>
      <c r="DI42" s="274">
        <v>85000</v>
      </c>
      <c r="DJ42" s="275">
        <v>170000</v>
      </c>
      <c r="DK42" s="276">
        <v>340000</v>
      </c>
      <c r="DL42" s="273">
        <v>39</v>
      </c>
      <c r="DM42" s="274">
        <v>170000</v>
      </c>
      <c r="DN42" s="275">
        <v>255000</v>
      </c>
      <c r="DO42" s="276">
        <v>510000</v>
      </c>
      <c r="DP42" s="277">
        <v>39</v>
      </c>
      <c r="DQ42" s="275">
        <v>340000</v>
      </c>
      <c r="DR42" s="276">
        <v>680000</v>
      </c>
      <c r="DS42" s="273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401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94">
        <v>40</v>
      </c>
      <c r="B43" s="194">
        <v>300</v>
      </c>
      <c r="C43" s="194">
        <f t="shared" si="4"/>
        <v>5150</v>
      </c>
      <c r="D43" s="394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12"/>
      <c r="S43" s="399">
        <v>40</v>
      </c>
      <c r="T43" s="404">
        <v>30</v>
      </c>
      <c r="U43" s="405">
        <v>4</v>
      </c>
      <c r="V43" s="194">
        <v>120</v>
      </c>
      <c r="W43" s="194">
        <v>16</v>
      </c>
      <c r="X43" s="405">
        <v>600</v>
      </c>
      <c r="Y43" s="405">
        <v>80</v>
      </c>
      <c r="Z43" s="194">
        <v>24</v>
      </c>
      <c r="AA43" s="194">
        <v>3</v>
      </c>
      <c r="AB43" s="405">
        <v>120</v>
      </c>
      <c r="AC43" s="405">
        <v>15</v>
      </c>
      <c r="AD43" s="213">
        <v>40</v>
      </c>
      <c r="AE43" s="194">
        <v>5</v>
      </c>
      <c r="AF43" s="405">
        <v>160</v>
      </c>
      <c r="AG43" s="405">
        <v>20</v>
      </c>
      <c r="AH43" s="194">
        <v>800</v>
      </c>
      <c r="AI43" s="194">
        <v>100</v>
      </c>
      <c r="AJ43" s="61">
        <v>40</v>
      </c>
      <c r="AK43" s="61">
        <v>4</v>
      </c>
      <c r="AL43" s="408">
        <f t="shared" ref="AL43:AM43" si="363">AJ43*5</f>
        <v>200</v>
      </c>
      <c r="AM43" s="408">
        <f t="shared" si="363"/>
        <v>20</v>
      </c>
      <c r="AN43" s="405">
        <v>40</v>
      </c>
      <c r="AO43" s="405">
        <v>5</v>
      </c>
      <c r="AP43" s="405">
        <v>200</v>
      </c>
      <c r="AQ43" s="405">
        <v>25</v>
      </c>
      <c r="AR43" s="194">
        <v>1000</v>
      </c>
      <c r="AS43" s="194">
        <v>125</v>
      </c>
      <c r="AT43" s="405">
        <v>40</v>
      </c>
      <c r="AU43" s="405">
        <v>5</v>
      </c>
      <c r="AV43" s="405">
        <v>200</v>
      </c>
      <c r="AW43" s="406">
        <v>25</v>
      </c>
      <c r="AX43" s="213">
        <v>40</v>
      </c>
      <c r="AY43" s="194">
        <v>5</v>
      </c>
      <c r="AZ43" s="405">
        <v>200</v>
      </c>
      <c r="BA43" s="405">
        <v>25</v>
      </c>
      <c r="BB43" s="405">
        <v>1000</v>
      </c>
      <c r="BC43" s="405">
        <v>125</v>
      </c>
      <c r="BD43" s="405">
        <v>40</v>
      </c>
      <c r="BE43" s="405">
        <v>5</v>
      </c>
      <c r="BF43" s="405">
        <f t="shared" ref="BF43:BG43" si="364">BD43*5</f>
        <v>200</v>
      </c>
      <c r="BG43" s="406">
        <f t="shared" si="364"/>
        <v>25</v>
      </c>
      <c r="BH43" s="400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400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400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400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94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8">
        <v>40</v>
      </c>
      <c r="DI43" s="279">
        <v>87500</v>
      </c>
      <c r="DJ43" s="280">
        <v>175000</v>
      </c>
      <c r="DK43" s="281">
        <v>350000</v>
      </c>
      <c r="DL43" s="278">
        <v>40</v>
      </c>
      <c r="DM43" s="279">
        <v>175000</v>
      </c>
      <c r="DN43" s="280">
        <v>262500</v>
      </c>
      <c r="DO43" s="281">
        <v>525000</v>
      </c>
      <c r="DP43" s="282">
        <v>40</v>
      </c>
      <c r="DQ43" s="280">
        <v>350000</v>
      </c>
      <c r="DR43" s="281">
        <v>700000</v>
      </c>
      <c r="DS43" s="278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401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94">
        <v>41</v>
      </c>
      <c r="B44" s="194">
        <v>310</v>
      </c>
      <c r="C44" s="194">
        <f t="shared" si="4"/>
        <v>5460</v>
      </c>
      <c r="D44" s="394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12"/>
      <c r="S44" s="399">
        <v>41</v>
      </c>
      <c r="T44" s="126">
        <v>34</v>
      </c>
      <c r="U44" s="61">
        <v>4</v>
      </c>
      <c r="V44" s="194">
        <v>136</v>
      </c>
      <c r="W44" s="61">
        <v>16</v>
      </c>
      <c r="X44" s="405">
        <v>680</v>
      </c>
      <c r="Y44" s="405">
        <v>80</v>
      </c>
      <c r="Z44" s="194">
        <v>27</v>
      </c>
      <c r="AA44" s="194">
        <v>3</v>
      </c>
      <c r="AB44" s="405">
        <v>135</v>
      </c>
      <c r="AC44" s="405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08">
        <f t="shared" ref="AL44:AM44" si="372">AJ44*5</f>
        <v>200</v>
      </c>
      <c r="AM44" s="408">
        <f t="shared" si="372"/>
        <v>20</v>
      </c>
      <c r="AN44" s="405">
        <v>45</v>
      </c>
      <c r="AO44" s="405">
        <v>5</v>
      </c>
      <c r="AP44" s="405">
        <v>225</v>
      </c>
      <c r="AQ44" s="405">
        <v>25</v>
      </c>
      <c r="AR44" s="405">
        <v>1125</v>
      </c>
      <c r="AS44" s="405">
        <v>125</v>
      </c>
      <c r="AT44" s="405">
        <v>45</v>
      </c>
      <c r="AU44" s="405">
        <v>5</v>
      </c>
      <c r="AV44" s="194">
        <v>225</v>
      </c>
      <c r="AW44" s="215">
        <v>25</v>
      </c>
      <c r="AX44" s="213">
        <v>45</v>
      </c>
      <c r="AY44" s="194">
        <v>5</v>
      </c>
      <c r="AZ44" s="405">
        <v>225</v>
      </c>
      <c r="BA44" s="405">
        <v>25</v>
      </c>
      <c r="BB44" s="194">
        <v>1125</v>
      </c>
      <c r="BC44" s="194">
        <v>125</v>
      </c>
      <c r="BD44" s="405">
        <v>45</v>
      </c>
      <c r="BE44" s="405">
        <v>5</v>
      </c>
      <c r="BF44" s="405">
        <f t="shared" ref="BF44:BG44" si="373">BD44*5</f>
        <v>225</v>
      </c>
      <c r="BG44" s="406">
        <f t="shared" si="373"/>
        <v>25</v>
      </c>
      <c r="BH44" s="400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400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400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400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94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8">
        <v>41</v>
      </c>
      <c r="DI44" s="279">
        <v>90000</v>
      </c>
      <c r="DJ44" s="280">
        <v>180000</v>
      </c>
      <c r="DK44" s="281">
        <v>360000</v>
      </c>
      <c r="DL44" s="278">
        <v>41</v>
      </c>
      <c r="DM44" s="279">
        <v>180000</v>
      </c>
      <c r="DN44" s="280">
        <v>270000</v>
      </c>
      <c r="DO44" s="281">
        <v>540000</v>
      </c>
      <c r="DP44" s="282">
        <v>41</v>
      </c>
      <c r="DQ44" s="280">
        <v>360000</v>
      </c>
      <c r="DR44" s="281">
        <v>720000</v>
      </c>
      <c r="DS44" s="278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401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94">
        <v>42</v>
      </c>
      <c r="B45" s="194">
        <v>320</v>
      </c>
      <c r="C45" s="194">
        <f t="shared" si="4"/>
        <v>5780</v>
      </c>
      <c r="D45" s="394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12"/>
      <c r="S45" s="399">
        <v>42</v>
      </c>
      <c r="T45" s="423">
        <v>34</v>
      </c>
      <c r="U45" s="410">
        <v>4</v>
      </c>
      <c r="V45" s="194">
        <v>136</v>
      </c>
      <c r="W45" s="61">
        <v>16</v>
      </c>
      <c r="X45" s="405">
        <v>680</v>
      </c>
      <c r="Y45" s="405">
        <v>80</v>
      </c>
      <c r="Z45" s="194">
        <v>27</v>
      </c>
      <c r="AA45" s="194">
        <v>3</v>
      </c>
      <c r="AB45" s="405">
        <v>135</v>
      </c>
      <c r="AC45" s="405">
        <v>15</v>
      </c>
      <c r="AD45" s="213">
        <v>45</v>
      </c>
      <c r="AE45" s="194">
        <v>5</v>
      </c>
      <c r="AF45" s="194">
        <v>180</v>
      </c>
      <c r="AG45" s="194">
        <v>20</v>
      </c>
      <c r="AH45" s="405">
        <v>900</v>
      </c>
      <c r="AI45" s="405">
        <v>100</v>
      </c>
      <c r="AJ45" s="61">
        <v>50</v>
      </c>
      <c r="AK45" s="61">
        <v>5</v>
      </c>
      <c r="AL45" s="408">
        <f t="shared" ref="AL45:AM45" si="381">AJ45*5</f>
        <v>250</v>
      </c>
      <c r="AM45" s="408">
        <f t="shared" si="381"/>
        <v>25</v>
      </c>
      <c r="AN45" s="405">
        <v>45</v>
      </c>
      <c r="AO45" s="405">
        <v>5</v>
      </c>
      <c r="AP45" s="405">
        <v>225</v>
      </c>
      <c r="AQ45" s="405">
        <v>25</v>
      </c>
      <c r="AR45" s="405">
        <v>1125</v>
      </c>
      <c r="AS45" s="405">
        <v>125</v>
      </c>
      <c r="AT45" s="194">
        <v>45</v>
      </c>
      <c r="AU45" s="194">
        <v>5</v>
      </c>
      <c r="AV45" s="405">
        <v>225</v>
      </c>
      <c r="AW45" s="406">
        <v>25</v>
      </c>
      <c r="AX45" s="213">
        <v>45</v>
      </c>
      <c r="AY45" s="194">
        <v>5</v>
      </c>
      <c r="AZ45" s="405">
        <v>225</v>
      </c>
      <c r="BA45" s="405">
        <v>25</v>
      </c>
      <c r="BB45" s="405">
        <v>1125</v>
      </c>
      <c r="BC45" s="405">
        <v>125</v>
      </c>
      <c r="BD45" s="405">
        <v>45</v>
      </c>
      <c r="BE45" s="405">
        <v>5</v>
      </c>
      <c r="BF45" s="405">
        <f t="shared" ref="BF45:BG45" si="382">BD45*5</f>
        <v>225</v>
      </c>
      <c r="BG45" s="406">
        <f t="shared" si="382"/>
        <v>25</v>
      </c>
      <c r="BH45" s="400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400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400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400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94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8">
        <v>42</v>
      </c>
      <c r="DI45" s="279">
        <v>92500</v>
      </c>
      <c r="DJ45" s="280">
        <v>185000</v>
      </c>
      <c r="DK45" s="281">
        <v>370000</v>
      </c>
      <c r="DL45" s="278">
        <v>42</v>
      </c>
      <c r="DM45" s="279">
        <v>185000</v>
      </c>
      <c r="DN45" s="280">
        <v>277500</v>
      </c>
      <c r="DO45" s="281">
        <v>555000</v>
      </c>
      <c r="DP45" s="282">
        <v>42</v>
      </c>
      <c r="DQ45" s="280">
        <v>370000</v>
      </c>
      <c r="DR45" s="281">
        <v>740000</v>
      </c>
      <c r="DS45" s="278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401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94">
        <v>43</v>
      </c>
      <c r="B46" s="194">
        <v>330</v>
      </c>
      <c r="C46" s="194">
        <f t="shared" si="4"/>
        <v>6110</v>
      </c>
      <c r="D46" s="394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12"/>
      <c r="S46" s="399">
        <v>43</v>
      </c>
      <c r="T46" s="404">
        <v>38</v>
      </c>
      <c r="U46" s="405">
        <v>5</v>
      </c>
      <c r="V46" s="194">
        <v>152</v>
      </c>
      <c r="W46" s="61">
        <v>20</v>
      </c>
      <c r="X46" s="405">
        <v>760</v>
      </c>
      <c r="Y46" s="405">
        <v>100</v>
      </c>
      <c r="Z46" s="194">
        <v>30</v>
      </c>
      <c r="AA46" s="194">
        <v>4</v>
      </c>
      <c r="AB46" s="405">
        <v>150</v>
      </c>
      <c r="AC46" s="405">
        <v>20</v>
      </c>
      <c r="AD46" s="213">
        <v>50</v>
      </c>
      <c r="AE46" s="194">
        <v>6</v>
      </c>
      <c r="AF46" s="405">
        <v>200</v>
      </c>
      <c r="AG46" s="405">
        <v>24</v>
      </c>
      <c r="AH46" s="194">
        <v>1000</v>
      </c>
      <c r="AI46" s="194">
        <v>120</v>
      </c>
      <c r="AJ46" s="61">
        <v>50</v>
      </c>
      <c r="AK46" s="61">
        <v>5</v>
      </c>
      <c r="AL46" s="408">
        <f t="shared" ref="AL46:AM46" si="390">AJ46*5</f>
        <v>250</v>
      </c>
      <c r="AM46" s="408">
        <f t="shared" si="390"/>
        <v>25</v>
      </c>
      <c r="AN46" s="405">
        <v>50</v>
      </c>
      <c r="AO46" s="405">
        <v>6</v>
      </c>
      <c r="AP46" s="405">
        <v>250</v>
      </c>
      <c r="AQ46" s="405">
        <v>30</v>
      </c>
      <c r="AR46" s="405">
        <v>1250</v>
      </c>
      <c r="AS46" s="405">
        <v>150</v>
      </c>
      <c r="AT46" s="405">
        <v>50</v>
      </c>
      <c r="AU46" s="405">
        <v>6</v>
      </c>
      <c r="AV46" s="194">
        <v>250</v>
      </c>
      <c r="AW46" s="215">
        <v>30</v>
      </c>
      <c r="AX46" s="213">
        <v>50</v>
      </c>
      <c r="AY46" s="194">
        <v>6</v>
      </c>
      <c r="AZ46" s="405">
        <v>250</v>
      </c>
      <c r="BA46" s="405">
        <v>30</v>
      </c>
      <c r="BB46" s="194">
        <v>1250</v>
      </c>
      <c r="BC46" s="194">
        <v>150</v>
      </c>
      <c r="BD46" s="194">
        <v>50</v>
      </c>
      <c r="BE46" s="194">
        <v>6</v>
      </c>
      <c r="BF46" s="405">
        <f t="shared" ref="BF46:BG46" si="391">BD46*5</f>
        <v>250</v>
      </c>
      <c r="BG46" s="406">
        <f t="shared" si="391"/>
        <v>30</v>
      </c>
      <c r="BH46" s="400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400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400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400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94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8">
        <v>43</v>
      </c>
      <c r="DI46" s="279">
        <v>95000</v>
      </c>
      <c r="DJ46" s="280">
        <v>190000</v>
      </c>
      <c r="DK46" s="281">
        <v>380000</v>
      </c>
      <c r="DL46" s="278">
        <v>43</v>
      </c>
      <c r="DM46" s="279">
        <v>190000</v>
      </c>
      <c r="DN46" s="280">
        <v>285000</v>
      </c>
      <c r="DO46" s="281">
        <v>570000</v>
      </c>
      <c r="DP46" s="282">
        <v>43</v>
      </c>
      <c r="DQ46" s="280">
        <v>380000</v>
      </c>
      <c r="DR46" s="281">
        <v>760000</v>
      </c>
      <c r="DS46" s="278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401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94">
        <v>44</v>
      </c>
      <c r="B47" s="194">
        <v>340</v>
      </c>
      <c r="C47" s="194">
        <f t="shared" si="4"/>
        <v>6450</v>
      </c>
      <c r="D47" s="394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12"/>
      <c r="S47" s="399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405">
        <v>150</v>
      </c>
      <c r="AC47" s="405">
        <v>20</v>
      </c>
      <c r="AD47" s="213">
        <v>50</v>
      </c>
      <c r="AE47" s="194">
        <v>6</v>
      </c>
      <c r="AF47" s="405">
        <v>200</v>
      </c>
      <c r="AG47" s="405">
        <v>24</v>
      </c>
      <c r="AH47" s="194">
        <v>1000</v>
      </c>
      <c r="AI47" s="194">
        <v>120</v>
      </c>
      <c r="AJ47" s="61">
        <v>50</v>
      </c>
      <c r="AK47" s="61">
        <v>5</v>
      </c>
      <c r="AL47" s="408">
        <f t="shared" ref="AL47:AM47" si="399">AJ47*5</f>
        <v>250</v>
      </c>
      <c r="AM47" s="408">
        <f t="shared" si="399"/>
        <v>25</v>
      </c>
      <c r="AN47" s="405">
        <v>50</v>
      </c>
      <c r="AO47" s="405">
        <v>6</v>
      </c>
      <c r="AP47" s="405">
        <v>250</v>
      </c>
      <c r="AQ47" s="405">
        <v>30</v>
      </c>
      <c r="AR47" s="194">
        <v>1250</v>
      </c>
      <c r="AS47" s="194">
        <v>150</v>
      </c>
      <c r="AT47" s="405">
        <v>50</v>
      </c>
      <c r="AU47" s="405">
        <v>6</v>
      </c>
      <c r="AV47" s="405">
        <v>250</v>
      </c>
      <c r="AW47" s="406">
        <v>30</v>
      </c>
      <c r="AX47" s="213">
        <v>50</v>
      </c>
      <c r="AY47" s="194">
        <v>6</v>
      </c>
      <c r="AZ47" s="405">
        <v>250</v>
      </c>
      <c r="BA47" s="405">
        <v>30</v>
      </c>
      <c r="BB47" s="405">
        <v>1250</v>
      </c>
      <c r="BC47" s="405">
        <v>150</v>
      </c>
      <c r="BD47" s="194">
        <v>50</v>
      </c>
      <c r="BE47" s="194">
        <v>6</v>
      </c>
      <c r="BF47" s="405">
        <f t="shared" ref="BF47:BG47" si="400">BD47*5</f>
        <v>250</v>
      </c>
      <c r="BG47" s="406">
        <f t="shared" si="400"/>
        <v>30</v>
      </c>
      <c r="BH47" s="400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400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400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400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94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8">
        <v>44</v>
      </c>
      <c r="DI47" s="279">
        <v>97500</v>
      </c>
      <c r="DJ47" s="280">
        <v>195000</v>
      </c>
      <c r="DK47" s="281">
        <v>390000</v>
      </c>
      <c r="DL47" s="278">
        <v>44</v>
      </c>
      <c r="DM47" s="279">
        <v>195000</v>
      </c>
      <c r="DN47" s="280">
        <v>292500</v>
      </c>
      <c r="DO47" s="281">
        <v>585000</v>
      </c>
      <c r="DP47" s="282">
        <v>44</v>
      </c>
      <c r="DQ47" s="280">
        <v>390000</v>
      </c>
      <c r="DR47" s="281">
        <v>780000</v>
      </c>
      <c r="DS47" s="278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401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94">
        <v>45</v>
      </c>
      <c r="B48" s="194">
        <v>350</v>
      </c>
      <c r="C48" s="194">
        <f t="shared" si="4"/>
        <v>6800</v>
      </c>
      <c r="D48" s="394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12"/>
      <c r="S48" s="399">
        <v>45</v>
      </c>
      <c r="T48" s="404">
        <v>41</v>
      </c>
      <c r="U48" s="405">
        <v>5</v>
      </c>
      <c r="V48" s="194">
        <v>164</v>
      </c>
      <c r="W48" s="61">
        <v>20</v>
      </c>
      <c r="X48" s="405">
        <v>820</v>
      </c>
      <c r="Y48" s="405">
        <v>100</v>
      </c>
      <c r="Z48" s="194">
        <v>33</v>
      </c>
      <c r="AA48" s="194">
        <v>4</v>
      </c>
      <c r="AB48" s="405">
        <v>165</v>
      </c>
      <c r="AC48" s="405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08">
        <f t="shared" ref="AL48:AM48" si="408">AJ48*5</f>
        <v>300</v>
      </c>
      <c r="AM48" s="408">
        <f t="shared" si="408"/>
        <v>30</v>
      </c>
      <c r="AN48" s="405">
        <v>55</v>
      </c>
      <c r="AO48" s="405">
        <v>7</v>
      </c>
      <c r="AP48" s="405">
        <v>275</v>
      </c>
      <c r="AQ48" s="405">
        <v>35</v>
      </c>
      <c r="AR48" s="194">
        <v>1375</v>
      </c>
      <c r="AS48" s="194">
        <v>175</v>
      </c>
      <c r="AT48" s="405">
        <v>55</v>
      </c>
      <c r="AU48" s="405">
        <v>7</v>
      </c>
      <c r="AV48" s="405">
        <v>275</v>
      </c>
      <c r="AW48" s="406">
        <v>35</v>
      </c>
      <c r="AX48" s="213">
        <v>55</v>
      </c>
      <c r="AY48" s="194">
        <v>7</v>
      </c>
      <c r="AZ48" s="194">
        <v>275</v>
      </c>
      <c r="BA48" s="194">
        <v>35</v>
      </c>
      <c r="BB48" s="405">
        <v>1375</v>
      </c>
      <c r="BC48" s="405">
        <v>175</v>
      </c>
      <c r="BD48" s="405">
        <v>55</v>
      </c>
      <c r="BE48" s="405">
        <v>7</v>
      </c>
      <c r="BF48" s="405">
        <f t="shared" ref="BF48:BG48" si="409">BD48*5</f>
        <v>275</v>
      </c>
      <c r="BG48" s="406">
        <f t="shared" si="409"/>
        <v>35</v>
      </c>
      <c r="BH48" s="400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400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400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400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94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83">
        <v>45</v>
      </c>
      <c r="DI48" s="284">
        <v>100000</v>
      </c>
      <c r="DJ48" s="285">
        <v>200000</v>
      </c>
      <c r="DK48" s="286">
        <v>400000</v>
      </c>
      <c r="DL48" s="283">
        <v>45</v>
      </c>
      <c r="DM48" s="284">
        <v>200000</v>
      </c>
      <c r="DN48" s="285">
        <v>300000</v>
      </c>
      <c r="DO48" s="286">
        <v>600000</v>
      </c>
      <c r="DP48" s="287">
        <v>45</v>
      </c>
      <c r="DQ48" s="285">
        <v>400000</v>
      </c>
      <c r="DR48" s="286">
        <v>800000</v>
      </c>
      <c r="DS48" s="283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401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94">
        <v>46</v>
      </c>
      <c r="B49" s="194">
        <v>360</v>
      </c>
      <c r="C49" s="194">
        <f t="shared" si="4"/>
        <v>7160</v>
      </c>
      <c r="D49" s="394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12"/>
      <c r="S49" s="399">
        <v>46</v>
      </c>
      <c r="T49" s="404">
        <v>41</v>
      </c>
      <c r="U49" s="405">
        <v>5</v>
      </c>
      <c r="V49" s="194">
        <v>164</v>
      </c>
      <c r="W49" s="61">
        <v>20</v>
      </c>
      <c r="X49" s="405">
        <v>820</v>
      </c>
      <c r="Y49" s="405">
        <v>100</v>
      </c>
      <c r="Z49" s="194">
        <v>33</v>
      </c>
      <c r="AA49" s="194">
        <v>4</v>
      </c>
      <c r="AB49" s="405">
        <v>165</v>
      </c>
      <c r="AC49" s="405">
        <v>20</v>
      </c>
      <c r="AD49" s="213">
        <v>55</v>
      </c>
      <c r="AE49" s="194">
        <v>7</v>
      </c>
      <c r="AF49" s="405">
        <v>220</v>
      </c>
      <c r="AG49" s="405">
        <v>28</v>
      </c>
      <c r="AH49" s="194">
        <v>1100</v>
      </c>
      <c r="AI49" s="194">
        <v>140</v>
      </c>
      <c r="AJ49" s="61">
        <v>60</v>
      </c>
      <c r="AK49" s="61">
        <v>6</v>
      </c>
      <c r="AL49" s="408">
        <f t="shared" ref="AL49:AM49" si="417">AJ49*5</f>
        <v>300</v>
      </c>
      <c r="AM49" s="408">
        <f t="shared" si="417"/>
        <v>30</v>
      </c>
      <c r="AN49" s="405">
        <v>55</v>
      </c>
      <c r="AO49" s="405">
        <v>7</v>
      </c>
      <c r="AP49" s="405">
        <v>275</v>
      </c>
      <c r="AQ49" s="405">
        <v>35</v>
      </c>
      <c r="AR49" s="405">
        <v>1375</v>
      </c>
      <c r="AS49" s="405">
        <v>175</v>
      </c>
      <c r="AT49" s="405">
        <v>55</v>
      </c>
      <c r="AU49" s="405">
        <v>7</v>
      </c>
      <c r="AV49" s="405">
        <v>275</v>
      </c>
      <c r="AW49" s="406">
        <v>35</v>
      </c>
      <c r="AX49" s="213">
        <v>55</v>
      </c>
      <c r="AY49" s="194">
        <v>7</v>
      </c>
      <c r="AZ49" s="405">
        <v>275</v>
      </c>
      <c r="BA49" s="405">
        <v>35</v>
      </c>
      <c r="BB49" s="194">
        <v>1375</v>
      </c>
      <c r="BC49" s="194">
        <v>175</v>
      </c>
      <c r="BD49" s="405">
        <v>55</v>
      </c>
      <c r="BE49" s="405">
        <v>7</v>
      </c>
      <c r="BF49" s="405">
        <f t="shared" ref="BF49:BG49" si="418">BD49*5</f>
        <v>275</v>
      </c>
      <c r="BG49" s="406">
        <f t="shared" si="418"/>
        <v>35</v>
      </c>
      <c r="BH49" s="400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400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400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400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94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83">
        <v>46</v>
      </c>
      <c r="DI49" s="284">
        <v>102500</v>
      </c>
      <c r="DJ49" s="285">
        <v>205000</v>
      </c>
      <c r="DK49" s="286">
        <v>410000</v>
      </c>
      <c r="DL49" s="283">
        <v>46</v>
      </c>
      <c r="DM49" s="284">
        <v>205000</v>
      </c>
      <c r="DN49" s="285">
        <v>307500</v>
      </c>
      <c r="DO49" s="286">
        <v>615000</v>
      </c>
      <c r="DP49" s="287">
        <v>46</v>
      </c>
      <c r="DQ49" s="285">
        <v>410000</v>
      </c>
      <c r="DR49" s="286">
        <v>820000</v>
      </c>
      <c r="DS49" s="283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401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94">
        <v>47</v>
      </c>
      <c r="B50" s="194">
        <v>370</v>
      </c>
      <c r="C50" s="194">
        <f t="shared" si="4"/>
        <v>7530</v>
      </c>
      <c r="D50" s="394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12"/>
      <c r="S50" s="399">
        <v>47</v>
      </c>
      <c r="T50" s="404">
        <v>45</v>
      </c>
      <c r="U50" s="405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405">
        <v>180</v>
      </c>
      <c r="AC50" s="405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08">
        <f t="shared" ref="AL50:AM50" si="426">AJ50*5</f>
        <v>300</v>
      </c>
      <c r="AM50" s="408">
        <f t="shared" si="426"/>
        <v>30</v>
      </c>
      <c r="AN50" s="405">
        <v>60</v>
      </c>
      <c r="AO50" s="405">
        <v>8</v>
      </c>
      <c r="AP50" s="405">
        <v>300</v>
      </c>
      <c r="AQ50" s="405">
        <v>40</v>
      </c>
      <c r="AR50" s="405">
        <v>1500</v>
      </c>
      <c r="AS50" s="405">
        <v>200</v>
      </c>
      <c r="AT50" s="194">
        <v>60</v>
      </c>
      <c r="AU50" s="194">
        <v>8</v>
      </c>
      <c r="AV50" s="405">
        <v>300</v>
      </c>
      <c r="AW50" s="406">
        <v>40</v>
      </c>
      <c r="AX50" s="213">
        <v>60</v>
      </c>
      <c r="AY50" s="194">
        <v>8</v>
      </c>
      <c r="AZ50" s="405">
        <v>300</v>
      </c>
      <c r="BA50" s="405">
        <v>40</v>
      </c>
      <c r="BB50" s="405">
        <v>1500</v>
      </c>
      <c r="BC50" s="405">
        <v>200</v>
      </c>
      <c r="BD50" s="405">
        <v>60</v>
      </c>
      <c r="BE50" s="405">
        <v>8</v>
      </c>
      <c r="BF50" s="405">
        <f t="shared" ref="BF50:BG50" si="427">BD50*5</f>
        <v>300</v>
      </c>
      <c r="BG50" s="406">
        <f t="shared" si="427"/>
        <v>40</v>
      </c>
      <c r="BH50" s="400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400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400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400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94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83">
        <v>47</v>
      </c>
      <c r="DI50" s="284">
        <v>105000</v>
      </c>
      <c r="DJ50" s="285">
        <v>210000</v>
      </c>
      <c r="DK50" s="286">
        <v>420000</v>
      </c>
      <c r="DL50" s="283">
        <v>47</v>
      </c>
      <c r="DM50" s="284">
        <v>210000</v>
      </c>
      <c r="DN50" s="285">
        <v>315000</v>
      </c>
      <c r="DO50" s="286">
        <v>630000</v>
      </c>
      <c r="DP50" s="287">
        <v>47</v>
      </c>
      <c r="DQ50" s="285">
        <v>420000</v>
      </c>
      <c r="DR50" s="286">
        <v>840000</v>
      </c>
      <c r="DS50" s="283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401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94">
        <v>48</v>
      </c>
      <c r="B51" s="194">
        <v>380</v>
      </c>
      <c r="C51" s="194">
        <f t="shared" si="4"/>
        <v>7910</v>
      </c>
      <c r="D51" s="394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12"/>
      <c r="S51" s="399">
        <v>48</v>
      </c>
      <c r="T51" s="404">
        <v>45</v>
      </c>
      <c r="U51" s="405">
        <v>6</v>
      </c>
      <c r="V51" s="194">
        <v>180</v>
      </c>
      <c r="W51" s="61">
        <v>24</v>
      </c>
      <c r="X51" s="405">
        <v>900</v>
      </c>
      <c r="Y51" s="405">
        <v>120</v>
      </c>
      <c r="Z51" s="194">
        <v>36</v>
      </c>
      <c r="AA51" s="194">
        <v>5</v>
      </c>
      <c r="AB51" s="405">
        <v>180</v>
      </c>
      <c r="AC51" s="405">
        <v>25</v>
      </c>
      <c r="AD51" s="213">
        <v>60</v>
      </c>
      <c r="AE51" s="194">
        <v>8</v>
      </c>
      <c r="AF51" s="194">
        <v>240</v>
      </c>
      <c r="AG51" s="194">
        <v>32</v>
      </c>
      <c r="AH51" s="405">
        <v>1200</v>
      </c>
      <c r="AI51" s="405">
        <v>160</v>
      </c>
      <c r="AJ51" s="61">
        <v>60</v>
      </c>
      <c r="AK51" s="61">
        <v>6</v>
      </c>
      <c r="AL51" s="408">
        <f t="shared" ref="AL51:AM51" si="435">AJ51*5</f>
        <v>300</v>
      </c>
      <c r="AM51" s="408">
        <f t="shared" si="435"/>
        <v>30</v>
      </c>
      <c r="AN51" s="405">
        <v>60</v>
      </c>
      <c r="AO51" s="405">
        <v>8</v>
      </c>
      <c r="AP51" s="405">
        <v>300</v>
      </c>
      <c r="AQ51" s="405">
        <v>40</v>
      </c>
      <c r="AR51" s="405">
        <v>1500</v>
      </c>
      <c r="AS51" s="405">
        <v>200</v>
      </c>
      <c r="AT51" s="194">
        <v>60</v>
      </c>
      <c r="AU51" s="194">
        <v>8</v>
      </c>
      <c r="AV51" s="405">
        <v>300</v>
      </c>
      <c r="AW51" s="406">
        <v>40</v>
      </c>
      <c r="AX51" s="213">
        <v>60</v>
      </c>
      <c r="AY51" s="194">
        <v>8</v>
      </c>
      <c r="AZ51" s="405">
        <v>300</v>
      </c>
      <c r="BA51" s="405">
        <v>40</v>
      </c>
      <c r="BB51" s="405">
        <v>1500</v>
      </c>
      <c r="BC51" s="405">
        <v>200</v>
      </c>
      <c r="BD51" s="405">
        <v>60</v>
      </c>
      <c r="BE51" s="405">
        <v>8</v>
      </c>
      <c r="BF51" s="405">
        <f t="shared" ref="BF51:BG51" si="436">BD51*5</f>
        <v>300</v>
      </c>
      <c r="BG51" s="406">
        <f t="shared" si="436"/>
        <v>40</v>
      </c>
      <c r="BH51" s="400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400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400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400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94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83">
        <v>48</v>
      </c>
      <c r="DI51" s="284">
        <v>107500</v>
      </c>
      <c r="DJ51" s="285">
        <v>215000</v>
      </c>
      <c r="DK51" s="286">
        <v>430000</v>
      </c>
      <c r="DL51" s="283">
        <v>48</v>
      </c>
      <c r="DM51" s="284">
        <v>215000</v>
      </c>
      <c r="DN51" s="285">
        <v>322500</v>
      </c>
      <c r="DO51" s="286">
        <v>645000</v>
      </c>
      <c r="DP51" s="287">
        <v>48</v>
      </c>
      <c r="DQ51" s="285">
        <v>430000</v>
      </c>
      <c r="DR51" s="286">
        <v>860000</v>
      </c>
      <c r="DS51" s="283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401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94">
        <v>49</v>
      </c>
      <c r="B52" s="194">
        <v>390</v>
      </c>
      <c r="C52" s="194">
        <f t="shared" si="4"/>
        <v>8300</v>
      </c>
      <c r="D52" s="394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12"/>
      <c r="S52" s="399">
        <v>49</v>
      </c>
      <c r="T52" s="213">
        <v>45</v>
      </c>
      <c r="U52" s="194">
        <v>6</v>
      </c>
      <c r="V52" s="194">
        <v>180</v>
      </c>
      <c r="W52" s="61">
        <v>24</v>
      </c>
      <c r="X52" s="405">
        <v>900</v>
      </c>
      <c r="Y52" s="405">
        <v>120</v>
      </c>
      <c r="Z52" s="405">
        <v>36</v>
      </c>
      <c r="AA52" s="405">
        <v>5</v>
      </c>
      <c r="AB52" s="405">
        <v>180</v>
      </c>
      <c r="AC52" s="405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08">
        <f t="shared" ref="AL52:AM52" si="444">AJ52*5</f>
        <v>300</v>
      </c>
      <c r="AM52" s="408">
        <f t="shared" si="444"/>
        <v>30</v>
      </c>
      <c r="AN52" s="405">
        <v>60</v>
      </c>
      <c r="AO52" s="405">
        <v>8</v>
      </c>
      <c r="AP52" s="405">
        <v>300</v>
      </c>
      <c r="AQ52" s="405">
        <v>40</v>
      </c>
      <c r="AR52" s="405">
        <v>1500</v>
      </c>
      <c r="AS52" s="405">
        <v>200</v>
      </c>
      <c r="AT52" s="405">
        <v>60</v>
      </c>
      <c r="AU52" s="405">
        <v>8</v>
      </c>
      <c r="AV52" s="405">
        <v>300</v>
      </c>
      <c r="AW52" s="406">
        <v>40</v>
      </c>
      <c r="AX52" s="213">
        <v>60</v>
      </c>
      <c r="AY52" s="194">
        <v>8</v>
      </c>
      <c r="AZ52" s="405">
        <v>300</v>
      </c>
      <c r="BA52" s="405">
        <v>40</v>
      </c>
      <c r="BB52" s="405">
        <v>1500</v>
      </c>
      <c r="BC52" s="405">
        <v>200</v>
      </c>
      <c r="BD52" s="405">
        <v>60</v>
      </c>
      <c r="BE52" s="405">
        <v>8</v>
      </c>
      <c r="BF52" s="405">
        <f t="shared" ref="BF52:BG52" si="445">BD52*5</f>
        <v>300</v>
      </c>
      <c r="BG52" s="406">
        <f t="shared" si="445"/>
        <v>40</v>
      </c>
      <c r="BH52" s="400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400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400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400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94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83">
        <v>49</v>
      </c>
      <c r="DI52" s="284">
        <v>110000</v>
      </c>
      <c r="DJ52" s="285">
        <v>220000</v>
      </c>
      <c r="DK52" s="286">
        <v>440000</v>
      </c>
      <c r="DL52" s="283">
        <v>49</v>
      </c>
      <c r="DM52" s="284">
        <v>220000</v>
      </c>
      <c r="DN52" s="285">
        <v>330000</v>
      </c>
      <c r="DO52" s="286">
        <v>660000</v>
      </c>
      <c r="DP52" s="287">
        <v>49</v>
      </c>
      <c r="DQ52" s="285">
        <v>440000</v>
      </c>
      <c r="DR52" s="286">
        <v>880000</v>
      </c>
      <c r="DS52" s="283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401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94">
        <v>50</v>
      </c>
      <c r="B53" s="194">
        <v>400</v>
      </c>
      <c r="C53" s="194">
        <f t="shared" si="4"/>
        <v>8700</v>
      </c>
      <c r="D53" s="394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12"/>
      <c r="S53" s="399">
        <v>50</v>
      </c>
      <c r="T53" s="404">
        <v>53</v>
      </c>
      <c r="U53" s="405">
        <v>6</v>
      </c>
      <c r="V53" s="194">
        <v>212</v>
      </c>
      <c r="W53" s="194">
        <v>24</v>
      </c>
      <c r="X53" s="405">
        <v>1060</v>
      </c>
      <c r="Y53" s="405">
        <v>120</v>
      </c>
      <c r="Z53" s="194">
        <v>42</v>
      </c>
      <c r="AA53" s="194">
        <v>5</v>
      </c>
      <c r="AB53" s="405">
        <v>210</v>
      </c>
      <c r="AC53" s="405">
        <v>25</v>
      </c>
      <c r="AD53" s="213">
        <v>70</v>
      </c>
      <c r="AE53" s="194">
        <v>8</v>
      </c>
      <c r="AF53" s="194">
        <v>280</v>
      </c>
      <c r="AG53" s="194">
        <v>32</v>
      </c>
      <c r="AH53" s="405">
        <v>1400</v>
      </c>
      <c r="AI53" s="405">
        <v>160</v>
      </c>
      <c r="AJ53" s="61">
        <v>65</v>
      </c>
      <c r="AK53" s="61">
        <v>6</v>
      </c>
      <c r="AL53" s="408">
        <f t="shared" ref="AL53:AM53" si="453">AJ53*5</f>
        <v>325</v>
      </c>
      <c r="AM53" s="408">
        <f t="shared" si="453"/>
        <v>30</v>
      </c>
      <c r="AN53" s="405">
        <v>70</v>
      </c>
      <c r="AO53" s="405">
        <v>8</v>
      </c>
      <c r="AP53" s="405">
        <v>350</v>
      </c>
      <c r="AQ53" s="405">
        <v>40</v>
      </c>
      <c r="AR53" s="405">
        <v>1750</v>
      </c>
      <c r="AS53" s="405">
        <v>200</v>
      </c>
      <c r="AT53" s="194">
        <v>70</v>
      </c>
      <c r="AU53" s="194">
        <v>8</v>
      </c>
      <c r="AV53" s="405">
        <v>350</v>
      </c>
      <c r="AW53" s="406">
        <v>40</v>
      </c>
      <c r="AX53" s="213">
        <v>70</v>
      </c>
      <c r="AY53" s="194">
        <v>8</v>
      </c>
      <c r="AZ53" s="405">
        <v>350</v>
      </c>
      <c r="BA53" s="405">
        <v>40</v>
      </c>
      <c r="BB53" s="405">
        <v>1750</v>
      </c>
      <c r="BC53" s="405">
        <v>200</v>
      </c>
      <c r="BD53" s="405">
        <v>70</v>
      </c>
      <c r="BE53" s="405">
        <v>8</v>
      </c>
      <c r="BF53" s="405">
        <f t="shared" ref="BF53:BG53" si="454">BD53*5</f>
        <v>350</v>
      </c>
      <c r="BG53" s="406">
        <f t="shared" si="454"/>
        <v>40</v>
      </c>
      <c r="BH53" s="400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400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400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400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94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8">
        <v>50</v>
      </c>
      <c r="DI53" s="192">
        <v>112500</v>
      </c>
      <c r="DJ53" s="193">
        <v>225000</v>
      </c>
      <c r="DK53" s="289">
        <v>450000</v>
      </c>
      <c r="DL53" s="288">
        <v>50</v>
      </c>
      <c r="DM53" s="192">
        <v>225000</v>
      </c>
      <c r="DN53" s="193">
        <v>337500</v>
      </c>
      <c r="DO53" s="289">
        <v>675000</v>
      </c>
      <c r="DP53" s="290">
        <v>50</v>
      </c>
      <c r="DQ53" s="193">
        <v>450000</v>
      </c>
      <c r="DR53" s="289">
        <v>900000</v>
      </c>
      <c r="DS53" s="288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401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94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12"/>
      <c r="S54" s="399">
        <v>51</v>
      </c>
      <c r="T54" s="213">
        <v>53</v>
      </c>
      <c r="U54" s="194">
        <v>7</v>
      </c>
      <c r="V54" s="194">
        <v>212</v>
      </c>
      <c r="W54" s="61">
        <v>28</v>
      </c>
      <c r="X54" s="405">
        <v>1060</v>
      </c>
      <c r="Y54" s="405">
        <v>140</v>
      </c>
      <c r="Z54" s="194">
        <v>42</v>
      </c>
      <c r="AA54" s="194">
        <v>5</v>
      </c>
      <c r="AB54" s="405">
        <v>210</v>
      </c>
      <c r="AC54" s="405">
        <v>25</v>
      </c>
      <c r="AD54" s="213">
        <v>70</v>
      </c>
      <c r="AE54" s="194">
        <v>9</v>
      </c>
      <c r="AF54" s="194">
        <v>280</v>
      </c>
      <c r="AG54" s="194">
        <v>36</v>
      </c>
      <c r="AH54" s="405">
        <v>1400</v>
      </c>
      <c r="AI54" s="405">
        <v>180</v>
      </c>
      <c r="AJ54" s="61">
        <v>65</v>
      </c>
      <c r="AK54" s="61">
        <v>6</v>
      </c>
      <c r="AL54" s="408">
        <f t="shared" ref="AL54:AM54" si="462">AJ54*5</f>
        <v>325</v>
      </c>
      <c r="AM54" s="408">
        <f t="shared" si="462"/>
        <v>30</v>
      </c>
      <c r="AN54" s="405">
        <v>70</v>
      </c>
      <c r="AO54" s="405">
        <v>9</v>
      </c>
      <c r="AP54" s="194">
        <v>350</v>
      </c>
      <c r="AQ54" s="194">
        <v>45</v>
      </c>
      <c r="AR54" s="405">
        <v>1750</v>
      </c>
      <c r="AS54" s="405">
        <v>225</v>
      </c>
      <c r="AT54" s="61">
        <v>70</v>
      </c>
      <c r="AU54" s="61">
        <v>9</v>
      </c>
      <c r="AV54" s="405">
        <v>350</v>
      </c>
      <c r="AW54" s="406">
        <v>45</v>
      </c>
      <c r="AX54" s="213">
        <v>70</v>
      </c>
      <c r="AY54" s="194">
        <v>9</v>
      </c>
      <c r="AZ54" s="405">
        <v>350</v>
      </c>
      <c r="BA54" s="405">
        <v>45</v>
      </c>
      <c r="BB54" s="405">
        <v>1750</v>
      </c>
      <c r="BC54" s="405">
        <v>225</v>
      </c>
      <c r="BD54" s="405">
        <v>70</v>
      </c>
      <c r="BE54" s="405">
        <v>9</v>
      </c>
      <c r="BF54" s="405">
        <f t="shared" ref="BF54:BG54" si="463">BD54*5</f>
        <v>350</v>
      </c>
      <c r="BG54" s="406">
        <f t="shared" si="463"/>
        <v>45</v>
      </c>
      <c r="BH54" s="400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400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400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400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94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8">
        <v>51</v>
      </c>
      <c r="DI54" s="192">
        <v>115000</v>
      </c>
      <c r="DJ54" s="193">
        <v>230000</v>
      </c>
      <c r="DK54" s="289">
        <v>460000</v>
      </c>
      <c r="DL54" s="288">
        <v>51</v>
      </c>
      <c r="DM54" s="192">
        <v>230000</v>
      </c>
      <c r="DN54" s="193">
        <v>345000</v>
      </c>
      <c r="DO54" s="289">
        <v>690000</v>
      </c>
      <c r="DP54" s="290">
        <v>51</v>
      </c>
      <c r="DQ54" s="193">
        <v>460000</v>
      </c>
      <c r="DR54" s="289">
        <v>920000</v>
      </c>
      <c r="DS54" s="288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401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94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12"/>
      <c r="S55" s="399">
        <v>52</v>
      </c>
      <c r="T55" s="404">
        <v>61</v>
      </c>
      <c r="U55" s="405">
        <v>7</v>
      </c>
      <c r="V55" s="194">
        <v>244</v>
      </c>
      <c r="W55" s="194">
        <v>28</v>
      </c>
      <c r="X55" s="405">
        <v>1220</v>
      </c>
      <c r="Y55" s="405">
        <v>140</v>
      </c>
      <c r="Z55" s="194">
        <v>50</v>
      </c>
      <c r="AA55" s="194">
        <v>6</v>
      </c>
      <c r="AB55" s="405">
        <v>250</v>
      </c>
      <c r="AC55" s="405">
        <v>30</v>
      </c>
      <c r="AD55" s="213">
        <v>80</v>
      </c>
      <c r="AE55" s="194">
        <v>9</v>
      </c>
      <c r="AF55" s="61">
        <v>320</v>
      </c>
      <c r="AG55" s="61">
        <v>36</v>
      </c>
      <c r="AH55" s="410">
        <v>1600</v>
      </c>
      <c r="AI55" s="410">
        <v>180</v>
      </c>
      <c r="AJ55" s="61">
        <v>65</v>
      </c>
      <c r="AK55" s="61">
        <v>6</v>
      </c>
      <c r="AL55" s="408">
        <f t="shared" ref="AL55:AM55" si="471">AJ55*5</f>
        <v>325</v>
      </c>
      <c r="AM55" s="408">
        <f t="shared" si="471"/>
        <v>30</v>
      </c>
      <c r="AN55" s="405">
        <v>80</v>
      </c>
      <c r="AO55" s="405">
        <v>9</v>
      </c>
      <c r="AP55" s="405">
        <v>400</v>
      </c>
      <c r="AQ55" s="405">
        <v>45</v>
      </c>
      <c r="AR55" s="194">
        <v>2000</v>
      </c>
      <c r="AS55" s="194">
        <v>225</v>
      </c>
      <c r="AT55" s="405">
        <v>80</v>
      </c>
      <c r="AU55" s="405">
        <v>9</v>
      </c>
      <c r="AV55" s="405">
        <v>400</v>
      </c>
      <c r="AW55" s="406">
        <v>45</v>
      </c>
      <c r="AX55" s="213">
        <v>80</v>
      </c>
      <c r="AY55" s="194">
        <v>9</v>
      </c>
      <c r="AZ55" s="405">
        <v>400</v>
      </c>
      <c r="BA55" s="405">
        <v>45</v>
      </c>
      <c r="BB55" s="405">
        <v>2000</v>
      </c>
      <c r="BC55" s="405">
        <v>225</v>
      </c>
      <c r="BD55" s="405">
        <v>80</v>
      </c>
      <c r="BE55" s="405">
        <v>9</v>
      </c>
      <c r="BF55" s="405">
        <f t="shared" ref="BF55:BG55" si="472">BD55*5</f>
        <v>400</v>
      </c>
      <c r="BG55" s="406">
        <f t="shared" si="472"/>
        <v>45</v>
      </c>
      <c r="BH55" s="400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400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400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400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94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8">
        <v>52</v>
      </c>
      <c r="DI55" s="192">
        <v>117500</v>
      </c>
      <c r="DJ55" s="193">
        <v>235000</v>
      </c>
      <c r="DK55" s="289">
        <v>470000</v>
      </c>
      <c r="DL55" s="288">
        <v>52</v>
      </c>
      <c r="DM55" s="192">
        <v>235000</v>
      </c>
      <c r="DN55" s="193">
        <v>352500</v>
      </c>
      <c r="DO55" s="289">
        <v>705000</v>
      </c>
      <c r="DP55" s="290">
        <v>52</v>
      </c>
      <c r="DQ55" s="193">
        <v>470000</v>
      </c>
      <c r="DR55" s="289">
        <v>940000</v>
      </c>
      <c r="DS55" s="288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401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94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12"/>
      <c r="S56" s="399">
        <v>53</v>
      </c>
      <c r="T56" s="404">
        <v>68</v>
      </c>
      <c r="U56" s="405">
        <v>7</v>
      </c>
      <c r="V56" s="194">
        <v>272</v>
      </c>
      <c r="W56" s="61">
        <v>28</v>
      </c>
      <c r="X56" s="405">
        <v>1360</v>
      </c>
      <c r="Y56" s="405">
        <v>140</v>
      </c>
      <c r="Z56" s="194">
        <v>54</v>
      </c>
      <c r="AA56" s="194">
        <v>6</v>
      </c>
      <c r="AB56" s="405">
        <v>270</v>
      </c>
      <c r="AC56" s="405">
        <v>30</v>
      </c>
      <c r="AD56" s="213">
        <v>90</v>
      </c>
      <c r="AE56" s="194">
        <v>10</v>
      </c>
      <c r="AF56" s="194">
        <v>360</v>
      </c>
      <c r="AG56" s="194">
        <v>40</v>
      </c>
      <c r="AH56" s="405">
        <v>1800</v>
      </c>
      <c r="AI56" s="405">
        <v>200</v>
      </c>
      <c r="AJ56" s="61">
        <v>70</v>
      </c>
      <c r="AK56" s="61">
        <v>7</v>
      </c>
      <c r="AL56" s="408">
        <f t="shared" ref="AL56:AM56" si="480">AJ56*5</f>
        <v>350</v>
      </c>
      <c r="AM56" s="408">
        <f t="shared" si="480"/>
        <v>35</v>
      </c>
      <c r="AN56" s="405">
        <v>90</v>
      </c>
      <c r="AO56" s="405">
        <v>10</v>
      </c>
      <c r="AP56" s="405">
        <v>450</v>
      </c>
      <c r="AQ56" s="405">
        <v>50</v>
      </c>
      <c r="AR56" s="194">
        <v>2250</v>
      </c>
      <c r="AS56" s="194">
        <v>250</v>
      </c>
      <c r="AT56" s="405">
        <v>90</v>
      </c>
      <c r="AU56" s="405">
        <v>10</v>
      </c>
      <c r="AV56" s="405">
        <v>450</v>
      </c>
      <c r="AW56" s="406">
        <v>50</v>
      </c>
      <c r="AX56" s="213">
        <v>90</v>
      </c>
      <c r="AY56" s="194">
        <v>10</v>
      </c>
      <c r="AZ56" s="194">
        <v>450</v>
      </c>
      <c r="BA56" s="194">
        <v>50</v>
      </c>
      <c r="BB56" s="405">
        <v>2250</v>
      </c>
      <c r="BC56" s="405">
        <v>250</v>
      </c>
      <c r="BD56" s="405">
        <v>90</v>
      </c>
      <c r="BE56" s="405">
        <v>10</v>
      </c>
      <c r="BF56" s="405">
        <f t="shared" ref="BF56:BG56" si="481">BD56*5</f>
        <v>450</v>
      </c>
      <c r="BG56" s="406">
        <f t="shared" si="481"/>
        <v>50</v>
      </c>
      <c r="BH56" s="400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400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400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400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94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8">
        <v>53</v>
      </c>
      <c r="DI56" s="192">
        <v>120000</v>
      </c>
      <c r="DJ56" s="193">
        <v>240000</v>
      </c>
      <c r="DK56" s="289">
        <v>480000</v>
      </c>
      <c r="DL56" s="288">
        <v>53</v>
      </c>
      <c r="DM56" s="192">
        <v>240000</v>
      </c>
      <c r="DN56" s="193">
        <v>360000</v>
      </c>
      <c r="DO56" s="289">
        <v>720000</v>
      </c>
      <c r="DP56" s="290">
        <v>53</v>
      </c>
      <c r="DQ56" s="193">
        <v>480000</v>
      </c>
      <c r="DR56" s="289">
        <v>960000</v>
      </c>
      <c r="DS56" s="288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401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94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12"/>
      <c r="S57" s="399">
        <v>54</v>
      </c>
      <c r="T57" s="404">
        <v>68</v>
      </c>
      <c r="U57" s="405">
        <v>7</v>
      </c>
      <c r="V57" s="194">
        <v>272</v>
      </c>
      <c r="W57" s="61">
        <v>28</v>
      </c>
      <c r="X57" s="405">
        <v>1360</v>
      </c>
      <c r="Y57" s="405">
        <v>140</v>
      </c>
      <c r="Z57" s="194">
        <v>54</v>
      </c>
      <c r="AA57" s="194">
        <v>6</v>
      </c>
      <c r="AB57" s="405">
        <v>270</v>
      </c>
      <c r="AC57" s="405">
        <v>30</v>
      </c>
      <c r="AD57" s="213">
        <v>90</v>
      </c>
      <c r="AE57" s="194">
        <v>10</v>
      </c>
      <c r="AF57" s="194">
        <v>360</v>
      </c>
      <c r="AG57" s="194">
        <v>40</v>
      </c>
      <c r="AH57" s="405">
        <v>1800</v>
      </c>
      <c r="AI57" s="405">
        <v>200</v>
      </c>
      <c r="AJ57" s="61">
        <v>70</v>
      </c>
      <c r="AK57" s="61">
        <v>7</v>
      </c>
      <c r="AL57" s="408">
        <f t="shared" ref="AL57:AM57" si="489">AJ57*5</f>
        <v>350</v>
      </c>
      <c r="AM57" s="408">
        <f t="shared" si="489"/>
        <v>35</v>
      </c>
      <c r="AN57" s="405">
        <v>90</v>
      </c>
      <c r="AO57" s="405">
        <v>10</v>
      </c>
      <c r="AP57" s="194">
        <v>450</v>
      </c>
      <c r="AQ57" s="194">
        <v>50</v>
      </c>
      <c r="AR57" s="405">
        <v>2250</v>
      </c>
      <c r="AS57" s="405">
        <v>250</v>
      </c>
      <c r="AT57" s="194">
        <v>90</v>
      </c>
      <c r="AU57" s="194">
        <v>10</v>
      </c>
      <c r="AV57" s="405">
        <v>450</v>
      </c>
      <c r="AW57" s="406">
        <v>50</v>
      </c>
      <c r="AX57" s="213">
        <v>90</v>
      </c>
      <c r="AY57" s="194">
        <v>10</v>
      </c>
      <c r="AZ57" s="405">
        <v>450</v>
      </c>
      <c r="BA57" s="405">
        <v>50</v>
      </c>
      <c r="BB57" s="405">
        <v>2250</v>
      </c>
      <c r="BC57" s="405">
        <v>250</v>
      </c>
      <c r="BD57" s="405">
        <v>90</v>
      </c>
      <c r="BE57" s="405">
        <v>10</v>
      </c>
      <c r="BF57" s="405">
        <f t="shared" ref="BF57:BG57" si="490">BD57*5</f>
        <v>450</v>
      </c>
      <c r="BG57" s="406">
        <f t="shared" si="490"/>
        <v>50</v>
      </c>
      <c r="BH57" s="400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400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400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400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94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8">
        <v>54</v>
      </c>
      <c r="DI57" s="192">
        <v>122500</v>
      </c>
      <c r="DJ57" s="193">
        <v>245000</v>
      </c>
      <c r="DK57" s="289">
        <v>490000</v>
      </c>
      <c r="DL57" s="288">
        <v>54</v>
      </c>
      <c r="DM57" s="192">
        <v>245000</v>
      </c>
      <c r="DN57" s="193">
        <v>367500</v>
      </c>
      <c r="DO57" s="289">
        <v>735000</v>
      </c>
      <c r="DP57" s="290">
        <v>54</v>
      </c>
      <c r="DQ57" s="193">
        <v>490000</v>
      </c>
      <c r="DR57" s="289">
        <v>980000</v>
      </c>
      <c r="DS57" s="288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401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94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12"/>
      <c r="S58" s="399">
        <v>55</v>
      </c>
      <c r="T58" s="213">
        <v>80</v>
      </c>
      <c r="U58" s="194">
        <v>8</v>
      </c>
      <c r="V58" s="194">
        <v>320</v>
      </c>
      <c r="W58" s="61">
        <v>32</v>
      </c>
      <c r="X58" s="405">
        <v>1600</v>
      </c>
      <c r="Y58" s="405">
        <v>160</v>
      </c>
      <c r="Z58" s="194">
        <v>64</v>
      </c>
      <c r="AA58" s="194">
        <v>6</v>
      </c>
      <c r="AB58" s="405">
        <v>320</v>
      </c>
      <c r="AC58" s="405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08">
        <f t="shared" ref="AL58:AM58" si="498">AJ58*5</f>
        <v>350</v>
      </c>
      <c r="AM58" s="408">
        <f t="shared" si="498"/>
        <v>35</v>
      </c>
      <c r="AN58" s="405">
        <v>105</v>
      </c>
      <c r="AO58" s="405">
        <v>11</v>
      </c>
      <c r="AP58" s="405">
        <v>525</v>
      </c>
      <c r="AQ58" s="405">
        <v>55</v>
      </c>
      <c r="AR58" s="194">
        <v>2625</v>
      </c>
      <c r="AS58" s="194">
        <v>275</v>
      </c>
      <c r="AT58" s="405">
        <v>105</v>
      </c>
      <c r="AU58" s="405">
        <v>11</v>
      </c>
      <c r="AV58" s="405">
        <v>525</v>
      </c>
      <c r="AW58" s="406">
        <v>55</v>
      </c>
      <c r="AX58" s="213">
        <v>105</v>
      </c>
      <c r="AY58" s="194">
        <v>11</v>
      </c>
      <c r="AZ58" s="405">
        <v>525</v>
      </c>
      <c r="BA58" s="405">
        <v>55</v>
      </c>
      <c r="BB58" s="405">
        <v>2625</v>
      </c>
      <c r="BC58" s="405">
        <v>275</v>
      </c>
      <c r="BD58" s="405">
        <v>105</v>
      </c>
      <c r="BE58" s="405">
        <v>11</v>
      </c>
      <c r="BF58" s="405">
        <f t="shared" ref="BF58:BG58" si="499">BD58*5</f>
        <v>525</v>
      </c>
      <c r="BG58" s="406">
        <f t="shared" si="499"/>
        <v>55</v>
      </c>
      <c r="BH58" s="400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400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400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400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94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91">
        <v>55</v>
      </c>
      <c r="DI58" s="292">
        <v>125000</v>
      </c>
      <c r="DJ58" s="293">
        <v>250000</v>
      </c>
      <c r="DK58" s="294">
        <v>500000</v>
      </c>
      <c r="DL58" s="291">
        <v>55</v>
      </c>
      <c r="DM58" s="292">
        <v>250000</v>
      </c>
      <c r="DN58" s="293">
        <v>375000</v>
      </c>
      <c r="DO58" s="294">
        <v>750000</v>
      </c>
      <c r="DP58" s="295">
        <v>55</v>
      </c>
      <c r="DQ58" s="293">
        <v>500000</v>
      </c>
      <c r="DR58" s="294">
        <v>1000000</v>
      </c>
      <c r="DS58" s="291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94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12"/>
      <c r="S59" s="399">
        <v>56</v>
      </c>
      <c r="T59" s="404">
        <v>80</v>
      </c>
      <c r="U59" s="405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405">
        <v>2100</v>
      </c>
      <c r="AI59" s="405">
        <v>220</v>
      </c>
      <c r="AJ59" s="61">
        <v>80</v>
      </c>
      <c r="AK59" s="61">
        <v>8</v>
      </c>
      <c r="AL59" s="408">
        <f t="shared" ref="AL59:AM59" si="507">AJ59*5</f>
        <v>400</v>
      </c>
      <c r="AM59" s="408">
        <f t="shared" si="507"/>
        <v>40</v>
      </c>
      <c r="AN59" s="405">
        <v>105</v>
      </c>
      <c r="AO59" s="405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405">
        <v>525</v>
      </c>
      <c r="AW59" s="406">
        <v>55</v>
      </c>
      <c r="AX59" s="213">
        <v>105</v>
      </c>
      <c r="AY59" s="194">
        <v>11</v>
      </c>
      <c r="AZ59" s="405">
        <v>525</v>
      </c>
      <c r="BA59" s="405">
        <v>55</v>
      </c>
      <c r="BB59" s="405">
        <v>2625</v>
      </c>
      <c r="BC59" s="405">
        <v>275</v>
      </c>
      <c r="BD59" s="405">
        <v>105</v>
      </c>
      <c r="BE59" s="405">
        <v>11</v>
      </c>
      <c r="BF59" s="405">
        <f t="shared" ref="BF59:BG59" si="508">BD59*5</f>
        <v>525</v>
      </c>
      <c r="BG59" s="406">
        <f t="shared" si="508"/>
        <v>55</v>
      </c>
      <c r="BH59" s="400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400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400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400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94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91">
        <v>56</v>
      </c>
      <c r="DI59" s="292">
        <v>127500</v>
      </c>
      <c r="DJ59" s="293">
        <v>255000</v>
      </c>
      <c r="DK59" s="294">
        <v>510000</v>
      </c>
      <c r="DL59" s="291">
        <v>56</v>
      </c>
      <c r="DM59" s="292">
        <v>255000</v>
      </c>
      <c r="DN59" s="293">
        <v>382500</v>
      </c>
      <c r="DO59" s="294">
        <v>765000</v>
      </c>
      <c r="DP59" s="295">
        <v>56</v>
      </c>
      <c r="DQ59" s="293">
        <v>510000</v>
      </c>
      <c r="DR59" s="294">
        <v>1020000</v>
      </c>
      <c r="DS59" s="291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94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12"/>
      <c r="S60" s="399">
        <v>57</v>
      </c>
      <c r="T60" s="404">
        <v>90</v>
      </c>
      <c r="U60" s="405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08">
        <f t="shared" ref="AL60:AM60" si="516">AJ60*5</f>
        <v>400</v>
      </c>
      <c r="AM60" s="408">
        <f t="shared" si="516"/>
        <v>40</v>
      </c>
      <c r="AN60" s="405">
        <v>120</v>
      </c>
      <c r="AO60" s="405">
        <v>12</v>
      </c>
      <c r="AP60" s="405">
        <v>600</v>
      </c>
      <c r="AQ60" s="405">
        <v>60</v>
      </c>
      <c r="AR60" s="194">
        <v>3000</v>
      </c>
      <c r="AS60" s="194">
        <v>300</v>
      </c>
      <c r="AT60" s="405">
        <v>120</v>
      </c>
      <c r="AU60" s="405">
        <v>12</v>
      </c>
      <c r="AV60" s="405">
        <v>600</v>
      </c>
      <c r="AW60" s="406">
        <v>60</v>
      </c>
      <c r="AX60" s="213">
        <v>120</v>
      </c>
      <c r="AY60" s="194">
        <v>12</v>
      </c>
      <c r="AZ60" s="405">
        <v>600</v>
      </c>
      <c r="BA60" s="405">
        <v>60</v>
      </c>
      <c r="BB60" s="405">
        <v>3000</v>
      </c>
      <c r="BC60" s="405">
        <v>300</v>
      </c>
      <c r="BD60" s="405">
        <v>120</v>
      </c>
      <c r="BE60" s="405">
        <v>12</v>
      </c>
      <c r="BF60" s="405">
        <f t="shared" ref="BF60:BG60" si="517">BD60*5</f>
        <v>600</v>
      </c>
      <c r="BG60" s="406">
        <f t="shared" si="517"/>
        <v>60</v>
      </c>
      <c r="BH60" s="400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400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400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400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94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91">
        <v>57</v>
      </c>
      <c r="DI60" s="292">
        <v>130000</v>
      </c>
      <c r="DJ60" s="293">
        <v>260000</v>
      </c>
      <c r="DK60" s="294">
        <v>520000</v>
      </c>
      <c r="DL60" s="291">
        <v>57</v>
      </c>
      <c r="DM60" s="292">
        <v>260000</v>
      </c>
      <c r="DN60" s="293">
        <v>390000</v>
      </c>
      <c r="DO60" s="294">
        <v>780000</v>
      </c>
      <c r="DP60" s="295">
        <v>57</v>
      </c>
      <c r="DQ60" s="293">
        <v>520000</v>
      </c>
      <c r="DR60" s="294">
        <v>1040000</v>
      </c>
      <c r="DS60" s="291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94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12"/>
      <c r="S61" s="399">
        <v>58</v>
      </c>
      <c r="T61" s="404">
        <v>100</v>
      </c>
      <c r="U61" s="405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405">
        <v>400</v>
      </c>
      <c r="AC61" s="405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08">
        <f t="shared" ref="AL61:AM61" si="525">AJ61*5</f>
        <v>400</v>
      </c>
      <c r="AM61" s="408">
        <f t="shared" si="525"/>
        <v>40</v>
      </c>
      <c r="AN61" s="405">
        <v>135</v>
      </c>
      <c r="AO61" s="405">
        <v>13</v>
      </c>
      <c r="AP61" s="405">
        <v>675</v>
      </c>
      <c r="AQ61" s="405">
        <v>65</v>
      </c>
      <c r="AR61" s="194">
        <v>3375</v>
      </c>
      <c r="AS61" s="194">
        <v>325</v>
      </c>
      <c r="AT61" s="405">
        <v>135</v>
      </c>
      <c r="AU61" s="405">
        <v>13</v>
      </c>
      <c r="AV61" s="405">
        <v>675</v>
      </c>
      <c r="AW61" s="406">
        <v>65</v>
      </c>
      <c r="AX61" s="213">
        <v>135</v>
      </c>
      <c r="AY61" s="194">
        <v>13</v>
      </c>
      <c r="AZ61" s="405">
        <v>675</v>
      </c>
      <c r="BA61" s="405">
        <v>65</v>
      </c>
      <c r="BB61" s="405">
        <v>3375</v>
      </c>
      <c r="BC61" s="405">
        <v>325</v>
      </c>
      <c r="BD61" s="405">
        <v>135</v>
      </c>
      <c r="BE61" s="405">
        <v>13</v>
      </c>
      <c r="BF61" s="405">
        <f t="shared" ref="BF61:BG61" si="526">BD61*5</f>
        <v>675</v>
      </c>
      <c r="BG61" s="406">
        <f t="shared" si="526"/>
        <v>65</v>
      </c>
      <c r="BH61" s="400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400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400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400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94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91">
        <v>58</v>
      </c>
      <c r="DI61" s="292">
        <v>132500</v>
      </c>
      <c r="DJ61" s="293">
        <v>265000</v>
      </c>
      <c r="DK61" s="294">
        <v>530000</v>
      </c>
      <c r="DL61" s="291">
        <v>58</v>
      </c>
      <c r="DM61" s="292">
        <v>265000</v>
      </c>
      <c r="DN61" s="293">
        <v>397500</v>
      </c>
      <c r="DO61" s="294">
        <v>795000</v>
      </c>
      <c r="DP61" s="295">
        <v>58</v>
      </c>
      <c r="DQ61" s="293">
        <v>530000</v>
      </c>
      <c r="DR61" s="294">
        <v>1060000</v>
      </c>
      <c r="DS61" s="291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94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12"/>
      <c r="S62" s="399">
        <v>59</v>
      </c>
      <c r="T62" s="424">
        <v>100</v>
      </c>
      <c r="U62" s="425">
        <v>9</v>
      </c>
      <c r="V62" s="426">
        <v>400</v>
      </c>
      <c r="W62" s="426">
        <v>36</v>
      </c>
      <c r="X62" s="426">
        <v>2000</v>
      </c>
      <c r="Y62" s="426">
        <v>180</v>
      </c>
      <c r="Z62" s="426"/>
      <c r="AA62" s="426"/>
      <c r="AB62" s="426"/>
      <c r="AC62" s="426"/>
      <c r="AD62" s="361">
        <v>150</v>
      </c>
      <c r="AE62" s="426">
        <v>14</v>
      </c>
      <c r="AF62" s="426">
        <v>600</v>
      </c>
      <c r="AG62" s="426">
        <v>60</v>
      </c>
      <c r="AH62" s="425">
        <v>3000</v>
      </c>
      <c r="AI62" s="425">
        <v>300</v>
      </c>
      <c r="AJ62" s="65">
        <v>100</v>
      </c>
      <c r="AK62" s="65">
        <v>10</v>
      </c>
      <c r="AL62" s="427">
        <f t="shared" ref="AL62:AM62" si="534">AJ62*5</f>
        <v>500</v>
      </c>
      <c r="AM62" s="427">
        <f t="shared" si="534"/>
        <v>50</v>
      </c>
      <c r="AN62" s="405">
        <v>150</v>
      </c>
      <c r="AO62" s="405">
        <v>14</v>
      </c>
      <c r="AP62" s="194">
        <v>750</v>
      </c>
      <c r="AQ62" s="194">
        <v>70</v>
      </c>
      <c r="AR62" s="405">
        <v>3750</v>
      </c>
      <c r="AS62" s="405">
        <v>350</v>
      </c>
      <c r="AT62" s="405">
        <v>150</v>
      </c>
      <c r="AU62" s="405">
        <v>14</v>
      </c>
      <c r="AV62" s="405">
        <v>750</v>
      </c>
      <c r="AW62" s="406">
        <v>70</v>
      </c>
      <c r="AX62" s="361">
        <v>150</v>
      </c>
      <c r="AY62" s="426">
        <v>14</v>
      </c>
      <c r="AZ62" s="426">
        <v>750</v>
      </c>
      <c r="BA62" s="426">
        <v>70</v>
      </c>
      <c r="BB62" s="425">
        <v>3750</v>
      </c>
      <c r="BC62" s="425">
        <v>350</v>
      </c>
      <c r="BD62" s="425">
        <v>150</v>
      </c>
      <c r="BE62" s="425">
        <v>14</v>
      </c>
      <c r="BF62" s="425">
        <f t="shared" ref="BF62:BG62" si="535">BD62*5</f>
        <v>750</v>
      </c>
      <c r="BG62" s="428">
        <f t="shared" si="535"/>
        <v>70</v>
      </c>
      <c r="BH62" s="400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400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400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400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94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91">
        <v>59</v>
      </c>
      <c r="DI62" s="292">
        <v>135000</v>
      </c>
      <c r="DJ62" s="293">
        <v>270000</v>
      </c>
      <c r="DK62" s="294">
        <v>540000</v>
      </c>
      <c r="DL62" s="291">
        <v>59</v>
      </c>
      <c r="DM62" s="292">
        <v>270000</v>
      </c>
      <c r="DN62" s="293">
        <v>405000</v>
      </c>
      <c r="DO62" s="294">
        <v>810000</v>
      </c>
      <c r="DP62" s="295">
        <v>59</v>
      </c>
      <c r="DQ62" s="293">
        <v>540000</v>
      </c>
      <c r="DR62" s="294">
        <v>1080000</v>
      </c>
      <c r="DS62" s="291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94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12"/>
      <c r="S63" s="429">
        <v>60</v>
      </c>
      <c r="T63" s="430"/>
      <c r="U63" s="431"/>
      <c r="V63" s="431"/>
      <c r="W63" s="431"/>
      <c r="X63" s="431"/>
      <c r="Y63" s="431"/>
      <c r="Z63" s="431"/>
      <c r="AA63" s="431"/>
      <c r="AB63" s="431"/>
      <c r="AC63" s="432"/>
      <c r="AD63" s="430"/>
      <c r="AE63" s="431"/>
      <c r="AF63" s="431"/>
      <c r="AG63" s="431"/>
      <c r="AH63" s="431"/>
      <c r="AI63" s="431"/>
      <c r="AJ63" s="431"/>
      <c r="AK63" s="431"/>
      <c r="AL63" s="431"/>
      <c r="AM63" s="432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33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33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33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33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94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96">
        <v>60</v>
      </c>
      <c r="DI63" s="297" t="s">
        <v>113</v>
      </c>
      <c r="DJ63" s="298" t="s">
        <v>113</v>
      </c>
      <c r="DK63" s="299" t="s">
        <v>113</v>
      </c>
      <c r="DL63" s="296">
        <v>60</v>
      </c>
      <c r="DM63" s="297" t="s">
        <v>113</v>
      </c>
      <c r="DN63" s="298" t="s">
        <v>113</v>
      </c>
      <c r="DO63" s="299" t="s">
        <v>113</v>
      </c>
      <c r="DP63" s="300">
        <v>60</v>
      </c>
      <c r="DQ63" s="298" t="s">
        <v>113</v>
      </c>
      <c r="DR63" s="299" t="s">
        <v>113</v>
      </c>
      <c r="DS63" s="296">
        <v>60</v>
      </c>
      <c r="DT63" s="194"/>
      <c r="DU63" s="194"/>
      <c r="DV63" s="194"/>
      <c r="DW63" s="297"/>
      <c r="DX63" s="298"/>
      <c r="DY63" s="299"/>
      <c r="DZ63" s="298"/>
      <c r="EA63" s="298"/>
      <c r="EB63" s="299"/>
      <c r="EC63" s="434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94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94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94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94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94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94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94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94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94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94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94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94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94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94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94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94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94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94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94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94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94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94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94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94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94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94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94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94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94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94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94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94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94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94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94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94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94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94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94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94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94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94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94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94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94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94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94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94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94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94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94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94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94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94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94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94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94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94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94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94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94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94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94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94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94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94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94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94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94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94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94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94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94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94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94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94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94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94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94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94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94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94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94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94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94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94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94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94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94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94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94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94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94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94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94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94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94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94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94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94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94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94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94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94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94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94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94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94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94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94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94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94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94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94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94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94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94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94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94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94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94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94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94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94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94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94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94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94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94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94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94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94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94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94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94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94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94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94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94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94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94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94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94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94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94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94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94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94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94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94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94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94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94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94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94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94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94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94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94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94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94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94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94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94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94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94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94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94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94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94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94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94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94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94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94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94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94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94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94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94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94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94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94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94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94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94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94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94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94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94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94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94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94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94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94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94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94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94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94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94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94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94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94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94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94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94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94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94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94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94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94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94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94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94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94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94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94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94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94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94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94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94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94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94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94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94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94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94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94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94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94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94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94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94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94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94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94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94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94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94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94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94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94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94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94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94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94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94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94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94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94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94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94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94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94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94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94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94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94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94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94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94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94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94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94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94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94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94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94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94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94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94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94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94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94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94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94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94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94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94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94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94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94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94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94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94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94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94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94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94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94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94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94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94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94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94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94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94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94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94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94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94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94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94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94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94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94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94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94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94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94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94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94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94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94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94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94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94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94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94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94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94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94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94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94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94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94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94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94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94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94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94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94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94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94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94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94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94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94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94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94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94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94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94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94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94">
        <v>326</v>
      </c>
      <c r="B329" s="408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94">
        <v>327</v>
      </c>
      <c r="B330" s="408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94">
        <v>328</v>
      </c>
      <c r="B331" s="408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94">
        <v>329</v>
      </c>
      <c r="B332" s="408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94">
        <v>330</v>
      </c>
      <c r="B333" s="408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94">
        <v>331</v>
      </c>
      <c r="B334" s="408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94">
        <v>332</v>
      </c>
      <c r="B335" s="408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94">
        <v>333</v>
      </c>
      <c r="B336" s="408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94">
        <v>334</v>
      </c>
      <c r="B337" s="408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94">
        <v>335</v>
      </c>
      <c r="B338" s="408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94">
        <v>336</v>
      </c>
      <c r="B339" s="408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94">
        <v>337</v>
      </c>
      <c r="B340" s="408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94">
        <v>338</v>
      </c>
      <c r="B341" s="408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94">
        <v>339</v>
      </c>
      <c r="B342" s="408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94">
        <v>340</v>
      </c>
      <c r="B343" s="408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94">
        <v>341</v>
      </c>
      <c r="B344" s="408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94">
        <v>342</v>
      </c>
      <c r="B345" s="408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94">
        <v>343</v>
      </c>
      <c r="B346" s="408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94">
        <v>344</v>
      </c>
      <c r="B347" s="408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94">
        <v>345</v>
      </c>
      <c r="B348" s="408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94">
        <v>346</v>
      </c>
      <c r="B349" s="408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94">
        <v>347</v>
      </c>
      <c r="B350" s="408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94">
        <v>348</v>
      </c>
      <c r="B351" s="408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94">
        <v>349</v>
      </c>
      <c r="B352" s="408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94">
        <v>350</v>
      </c>
      <c r="B353" s="408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94">
        <v>351</v>
      </c>
      <c r="B354" s="408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94">
        <v>352</v>
      </c>
      <c r="B355" s="408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94">
        <v>353</v>
      </c>
      <c r="B356" s="408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94">
        <v>354</v>
      </c>
      <c r="B357" s="408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94">
        <v>355</v>
      </c>
      <c r="B358" s="408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94">
        <v>356</v>
      </c>
      <c r="B359" s="408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94">
        <v>357</v>
      </c>
      <c r="B360" s="408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94">
        <v>358</v>
      </c>
      <c r="B361" s="408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94">
        <v>359</v>
      </c>
      <c r="B362" s="408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94">
        <v>360</v>
      </c>
      <c r="B363" s="408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94">
        <v>361</v>
      </c>
      <c r="B364" s="408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94">
        <v>362</v>
      </c>
      <c r="B365" s="408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94">
        <v>363</v>
      </c>
      <c r="B366" s="408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94">
        <v>364</v>
      </c>
      <c r="B367" s="408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94">
        <v>365</v>
      </c>
      <c r="B368" s="408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94">
        <v>366</v>
      </c>
      <c r="B369" s="408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94">
        <v>367</v>
      </c>
      <c r="B370" s="408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94">
        <v>368</v>
      </c>
      <c r="B371" s="408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94">
        <v>369</v>
      </c>
      <c r="B372" s="408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94">
        <v>370</v>
      </c>
      <c r="B373" s="408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94">
        <v>371</v>
      </c>
      <c r="B374" s="408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94">
        <v>372</v>
      </c>
      <c r="B375" s="408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94">
        <v>373</v>
      </c>
      <c r="B376" s="408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94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94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94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94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94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94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94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94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94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94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94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94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94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94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94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94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94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94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94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94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94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94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94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94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94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94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94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94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94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94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94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94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94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94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94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94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94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94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94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94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94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94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94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94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94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94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94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94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94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94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94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94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94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94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94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94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94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94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94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94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94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94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94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94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94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94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94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94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94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94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94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94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94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94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94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94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94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94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94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94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94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94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94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94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94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94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94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94">
        <v>461</v>
      </c>
      <c r="B464" s="435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94">
        <v>462</v>
      </c>
      <c r="B465" s="435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94">
        <v>463</v>
      </c>
      <c r="B466" s="435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94">
        <v>464</v>
      </c>
      <c r="B467" s="435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94">
        <v>465</v>
      </c>
      <c r="B468" s="435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94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94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94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94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94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94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94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94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94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94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94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94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94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94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94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94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94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94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94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94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94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94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94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94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94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94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94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94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94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94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94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94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94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94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94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94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94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94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94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94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94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94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94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94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94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94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94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94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94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94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94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94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94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94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94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94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94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94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94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94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94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94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94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94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94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94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94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94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94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94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94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94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94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94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94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94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94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94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94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94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94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94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94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94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94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94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94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94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94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94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94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94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94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94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94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94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94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94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94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94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94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94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94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94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94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94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94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94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94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94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94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94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94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94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94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94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94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94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94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94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94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94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94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94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94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94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94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94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94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94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94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94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94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94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94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I1:BJ1"/>
    <mergeCell ref="BK1:BL1"/>
    <mergeCell ref="BM1:BN1"/>
    <mergeCell ref="BO1:BP1"/>
    <mergeCell ref="BQ1:BR1"/>
    <mergeCell ref="BT1:BU1"/>
    <mergeCell ref="BV1:BW1"/>
    <mergeCell ref="BX1:BY1"/>
    <mergeCell ref="CP1:CQ1"/>
    <mergeCell ref="CR1:CS1"/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2026-03-05T15:46:01Z</dcterms:modified>
</cp:coreProperties>
</file>